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 Pérez\Dropbox\5-Skillz\Upwork\PalletJob\"/>
    </mc:Choice>
  </mc:AlternateContent>
  <bookViews>
    <workbookView xWindow="0" yWindow="0" windowWidth="9990" windowHeight="6000"/>
  </bookViews>
  <sheets>
    <sheet name="Pallet allocation" sheetId="4" r:id="rId1"/>
    <sheet name="PALLET #1" sheetId="6" r:id="rId2"/>
    <sheet name="PALLET #2" sheetId="9" r:id="rId3"/>
    <sheet name="PALLET #3" sheetId="10" r:id="rId4"/>
  </sheets>
  <externalReferences>
    <externalReference r:id="rId5"/>
  </externalReferences>
  <definedNames>
    <definedName name="_xlnm._FilterDatabase" localSheetId="0" hidden="1">'Pallet allocation'!$A$2:$AJ$108</definedName>
    <definedName name="ALL">'[1]New Pallets Deals'!$C$7:$F$20,'[1]New Pallets Deals'!$C$25:$F$69,'[1]New Pallets Deals'!$C$74:$F$89,'[1]New Pallets Deals'!$C$94:$F$134,'[1]New Pallets Deals'!$C$139:$F$144</definedName>
  </definedNames>
  <calcPr calcId="152511"/>
</workbook>
</file>

<file path=xl/calcChain.xml><?xml version="1.0" encoding="utf-8"?>
<calcChain xmlns="http://schemas.openxmlformats.org/spreadsheetml/2006/main">
  <c r="D1" i="4" l="1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AC1" i="4"/>
  <c r="AD1" i="4"/>
  <c r="AE1" i="4"/>
  <c r="AF1" i="4"/>
  <c r="AG1" i="4"/>
  <c r="AH1" i="4"/>
  <c r="AI1" i="4"/>
  <c r="AJ1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A2" i="6"/>
  <c r="D12" i="6"/>
  <c r="A2" i="9"/>
  <c r="D12" i="9"/>
  <c r="A2" i="10"/>
  <c r="D12" i="10"/>
  <c r="F1" i="4" l="1"/>
</calcChain>
</file>

<file path=xl/sharedStrings.xml><?xml version="1.0" encoding="utf-8"?>
<sst xmlns="http://schemas.openxmlformats.org/spreadsheetml/2006/main" count="266" uniqueCount="138">
  <si>
    <t>RBF-2</t>
  </si>
  <si>
    <t>RBF-5</t>
  </si>
  <si>
    <t>RBF-9</t>
  </si>
  <si>
    <t>RB-FH</t>
  </si>
  <si>
    <t>RS21</t>
  </si>
  <si>
    <t>SRN-RD</t>
  </si>
  <si>
    <t>SRN-OR</t>
  </si>
  <si>
    <t>SRN-YE</t>
  </si>
  <si>
    <t>SRN-GR</t>
  </si>
  <si>
    <t>SRN-FG</t>
  </si>
  <si>
    <t>SRN-SB</t>
  </si>
  <si>
    <t>SRN-BL</t>
  </si>
  <si>
    <t>SRN-PR</t>
  </si>
  <si>
    <t>SRN-HP</t>
  </si>
  <si>
    <t>SRN-BK</t>
  </si>
  <si>
    <t>KMC-RN101RD</t>
  </si>
  <si>
    <t>RN-OR</t>
  </si>
  <si>
    <t>RN-YE</t>
  </si>
  <si>
    <t>RN-LI</t>
  </si>
  <si>
    <t>KMC-RN101GR</t>
  </si>
  <si>
    <t>RN-FG</t>
  </si>
  <si>
    <t>RN-SB</t>
  </si>
  <si>
    <t>KMC-RN101BL</t>
  </si>
  <si>
    <t>RN-PR</t>
  </si>
  <si>
    <t>RN-HP</t>
  </si>
  <si>
    <t>KMC-RN101</t>
  </si>
  <si>
    <t>KMC-FB100RD</t>
  </si>
  <si>
    <t>FB-OR</t>
  </si>
  <si>
    <t>FB-SB</t>
  </si>
  <si>
    <t>KMC-FB100BL</t>
  </si>
  <si>
    <t>FB-PR</t>
  </si>
  <si>
    <t>FB-HP</t>
  </si>
  <si>
    <t>KMC-FB100</t>
  </si>
  <si>
    <t>MCK-SB</t>
  </si>
  <si>
    <t>FP5-RD</t>
  </si>
  <si>
    <t>FP5-LI</t>
  </si>
  <si>
    <t>FP5-BL</t>
  </si>
  <si>
    <t>FP5-BK</t>
  </si>
  <si>
    <t>ESS-RD</t>
  </si>
  <si>
    <t>ESS-GR</t>
  </si>
  <si>
    <t>ESS-PR</t>
  </si>
  <si>
    <t>ESS-PK</t>
  </si>
  <si>
    <t>STR22-RD</t>
  </si>
  <si>
    <t>STR22-OR</t>
  </si>
  <si>
    <t>STR22-AQ</t>
  </si>
  <si>
    <t>STR22-GR</t>
  </si>
  <si>
    <t>STR22-BL</t>
  </si>
  <si>
    <t>STR22-PR</t>
  </si>
  <si>
    <t>STR22-HP</t>
  </si>
  <si>
    <t>STR22-BK</t>
  </si>
  <si>
    <t>SBF-RD</t>
  </si>
  <si>
    <t>SBF-GR</t>
  </si>
  <si>
    <t>SBF-BL</t>
  </si>
  <si>
    <t>SBF-PR</t>
  </si>
  <si>
    <t>SBF-PK</t>
  </si>
  <si>
    <t>KIT-C1</t>
  </si>
  <si>
    <t>KIT-C2</t>
  </si>
  <si>
    <t>J2</t>
  </si>
  <si>
    <t>OB-RD</t>
  </si>
  <si>
    <t>OB-YE</t>
  </si>
  <si>
    <t>OB-GR</t>
  </si>
  <si>
    <t>OB-BL</t>
  </si>
  <si>
    <t>PGF20-RD</t>
  </si>
  <si>
    <t>PGF20-YE</t>
  </si>
  <si>
    <t>PGF20-LI</t>
  </si>
  <si>
    <t>PGF20-PR</t>
  </si>
  <si>
    <t>OTF7</t>
  </si>
  <si>
    <t>OTF11</t>
  </si>
  <si>
    <t>OTF18</t>
  </si>
  <si>
    <t>CFH7</t>
  </si>
  <si>
    <t>CFH11</t>
  </si>
  <si>
    <t>CFH18</t>
  </si>
  <si>
    <t>FTBD14Q</t>
  </si>
  <si>
    <t>FTBD26Q</t>
  </si>
  <si>
    <t>FTBD10G</t>
  </si>
  <si>
    <t>FTBD17G</t>
  </si>
  <si>
    <t>FTBD31G</t>
  </si>
  <si>
    <t>GFT20</t>
  </si>
  <si>
    <t>GFT44</t>
  </si>
  <si>
    <t>GDT2</t>
  </si>
  <si>
    <t>GDT3G</t>
  </si>
  <si>
    <t>KMT103</t>
  </si>
  <si>
    <t>KMT102</t>
  </si>
  <si>
    <t>KMT101</t>
  </si>
  <si>
    <t>KMT50</t>
  </si>
  <si>
    <t>KMT85</t>
  </si>
  <si>
    <t>KMT100</t>
  </si>
  <si>
    <t>KMT99</t>
  </si>
  <si>
    <t>KMT160</t>
  </si>
  <si>
    <t>KMT98</t>
  </si>
  <si>
    <t>KMT300</t>
  </si>
  <si>
    <t>KMW106</t>
  </si>
  <si>
    <t>Invoice</t>
  </si>
  <si>
    <t>Customer name</t>
  </si>
  <si>
    <t>PO number</t>
  </si>
  <si>
    <t>Quantity</t>
  </si>
  <si>
    <t>Item</t>
  </si>
  <si>
    <t>Shipped Q</t>
  </si>
  <si>
    <t>Pallet #1</t>
  </si>
  <si>
    <t>Pallet #2</t>
  </si>
  <si>
    <t>Pallet #3</t>
  </si>
  <si>
    <t>Pallet #4</t>
  </si>
  <si>
    <t>Pallet #5</t>
  </si>
  <si>
    <t>Pallet #6</t>
  </si>
  <si>
    <t>Pallet #7</t>
  </si>
  <si>
    <t>Pallet #8</t>
  </si>
  <si>
    <t>Pallet #9</t>
  </si>
  <si>
    <t>Pallet #10</t>
  </si>
  <si>
    <t>Pallet #11</t>
  </si>
  <si>
    <t>Pallet #12</t>
  </si>
  <si>
    <t>Pallet #13</t>
  </si>
  <si>
    <t>Pallet #14</t>
  </si>
  <si>
    <t>Pallet #15</t>
  </si>
  <si>
    <t>Pallet #16</t>
  </si>
  <si>
    <t>Pallet #17</t>
  </si>
  <si>
    <t>Pallet #18</t>
  </si>
  <si>
    <t>Pallet #19</t>
  </si>
  <si>
    <t>Pallet #20</t>
  </si>
  <si>
    <t>Pallet #21</t>
  </si>
  <si>
    <t>Pallet #22</t>
  </si>
  <si>
    <t>Pallet #23</t>
  </si>
  <si>
    <t>Pallet #24</t>
  </si>
  <si>
    <t>Pallet #25</t>
  </si>
  <si>
    <t>Pallet #26</t>
  </si>
  <si>
    <t>Pallet #27</t>
  </si>
  <si>
    <t>Pallet #28</t>
  </si>
  <si>
    <t>Pallet #29</t>
  </si>
  <si>
    <t>Pallet #30</t>
  </si>
  <si>
    <t>SHIP TO</t>
  </si>
  <si>
    <t>TEL</t>
  </si>
  <si>
    <t xml:space="preserve">COUNTRY: </t>
  </si>
  <si>
    <t>CARRIER INFO:</t>
  </si>
  <si>
    <t>PALLET CONTENT</t>
  </si>
  <si>
    <t>PALLET #</t>
  </si>
  <si>
    <t>OF</t>
  </si>
  <si>
    <t>NUMBER OF PALLETS</t>
  </si>
  <si>
    <t>APPROX. WEIGHT:</t>
  </si>
  <si>
    <t>Horizon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</si>
</sst>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2" x14ac:knownFonts="1">
    <font>
      <sz val="10"/>
      <name val="Arial"/>
    </font>
    <font>
      <sz val="11"/>
      <color indexed="8"/>
      <name val="Calibri"/>
    </font>
    <font>
      <sz val="11"/>
      <color indexed="9"/>
      <name val="Calibri"/>
    </font>
    <font>
      <sz val="11"/>
      <color indexed="20"/>
      <name val="Calibri"/>
    </font>
    <font>
      <b/>
      <sz val="11"/>
      <color indexed="52"/>
      <name val="Calibri"/>
    </font>
    <font>
      <b/>
      <sz val="11"/>
      <color indexed="9"/>
      <name val="Calibri"/>
    </font>
    <font>
      <i/>
      <sz val="11"/>
      <color indexed="23"/>
      <name val="Calibri"/>
    </font>
    <font>
      <sz val="11"/>
      <color indexed="17"/>
      <name val="Calibri"/>
    </font>
    <font>
      <b/>
      <sz val="15"/>
      <color indexed="56"/>
      <name val="Calibri"/>
    </font>
    <font>
      <b/>
      <sz val="13"/>
      <color indexed="56"/>
      <name val="Calibri"/>
    </font>
    <font>
      <b/>
      <sz val="11"/>
      <color indexed="56"/>
      <name val="Calibri"/>
    </font>
    <font>
      <sz val="11"/>
      <color indexed="62"/>
      <name val="Calibri"/>
    </font>
    <font>
      <sz val="11"/>
      <color indexed="52"/>
      <name val="Calibri"/>
    </font>
    <font>
      <sz val="11"/>
      <color indexed="60"/>
      <name val="Calibri"/>
    </font>
    <font>
      <sz val="10"/>
      <name val="Courier"/>
    </font>
    <font>
      <b/>
      <sz val="11"/>
      <color indexed="63"/>
      <name val="Calibri"/>
    </font>
    <font>
      <b/>
      <sz val="18"/>
      <color indexed="56"/>
      <name val="Cambria"/>
    </font>
    <font>
      <b/>
      <sz val="11"/>
      <color indexed="8"/>
      <name val="Calibri"/>
    </font>
    <font>
      <sz val="11"/>
      <color indexed="10"/>
      <name val="Calibri"/>
    </font>
    <font>
      <b/>
      <sz val="10"/>
      <name val="Arial"/>
    </font>
    <font>
      <sz val="10"/>
      <name val="Arial"/>
    </font>
    <font>
      <b/>
      <sz val="10"/>
      <color indexed="9"/>
      <name val="Arial"/>
    </font>
  </fonts>
  <fills count="24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5">
    <xf numFmtId="0" fontId="0" fillId="0" borderId="0" applyNumberFormat="0" applyFont="0" applyFill="0" applyBorder="0" applyAlignment="0" applyProtection="0">
      <alignment vertical="top"/>
    </xf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44" fontId="20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7" fillId="4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7" borderId="1" applyNumberFormat="0" applyAlignment="0" applyProtection="0"/>
    <xf numFmtId="0" fontId="12" fillId="0" borderId="6" applyNumberFormat="0" applyFill="0" applyAlignment="0" applyProtection="0"/>
    <xf numFmtId="0" fontId="13" fillId="22" borderId="0" applyNumberFormat="0" applyBorder="0" applyAlignment="0" applyProtection="0"/>
    <xf numFmtId="0" fontId="14" fillId="0" borderId="0"/>
    <xf numFmtId="0" fontId="20" fillId="0" borderId="0"/>
    <xf numFmtId="0" fontId="20" fillId="23" borderId="7" applyNumberFormat="0" applyFont="0" applyAlignment="0" applyProtection="0"/>
    <xf numFmtId="0" fontId="15" fillId="20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</cellStyleXfs>
  <cellXfs count="14">
    <xf numFmtId="0" fontId="0" fillId="0" borderId="0" xfId="0" applyNumberFormat="1" applyFont="1" applyFill="1" applyBorder="1" applyAlignment="1" applyProtection="1">
      <alignment vertical="top"/>
    </xf>
    <xf numFmtId="0" fontId="0" fillId="0" borderId="0" xfId="0" applyNumberFormat="1" applyFont="1" applyFill="1" applyBorder="1" applyAlignment="1" applyProtection="1">
      <alignment vertical="top"/>
    </xf>
    <xf numFmtId="0" fontId="19" fillId="0" borderId="0" xfId="39" applyFont="1" applyAlignment="1">
      <alignment horizontal="center"/>
    </xf>
    <xf numFmtId="1" fontId="19" fillId="0" borderId="0" xfId="39" applyNumberFormat="1" applyFont="1" applyAlignment="1">
      <alignment horizontal="center"/>
    </xf>
    <xf numFmtId="0" fontId="20" fillId="0" borderId="0" xfId="39"/>
    <xf numFmtId="1" fontId="20" fillId="0" borderId="0" xfId="39" applyNumberFormat="1"/>
    <xf numFmtId="0" fontId="0" fillId="10" borderId="0" xfId="39" applyFont="1" applyFill="1"/>
    <xf numFmtId="0" fontId="0" fillId="0" borderId="0" xfId="39" applyFont="1"/>
    <xf numFmtId="0" fontId="19" fillId="0" borderId="0" xfId="0" applyNumberFormat="1" applyFont="1" applyFill="1" applyBorder="1" applyAlignment="1" applyProtection="1">
      <alignment vertical="top"/>
    </xf>
    <xf numFmtId="1" fontId="21" fillId="17" borderId="0" xfId="39" applyNumberFormat="1" applyFont="1" applyFill="1"/>
    <xf numFmtId="1" fontId="0" fillId="0" borderId="0" xfId="0" applyNumberFormat="1" applyFont="1" applyFill="1" applyBorder="1" applyAlignment="1" applyProtection="1">
      <alignment horizontal="left" vertical="top"/>
    </xf>
    <xf numFmtId="0" fontId="20" fillId="0" borderId="0" xfId="39" applyFill="1"/>
    <xf numFmtId="0" fontId="0" fillId="11" borderId="0" xfId="39" applyFont="1" applyFill="1"/>
    <xf numFmtId="1" fontId="0" fillId="0" borderId="0" xfId="0" applyNumberFormat="1" applyFont="1" applyFill="1" applyBorder="1" applyAlignment="1" applyProtection="1">
      <alignment horizontal="left" vertical="top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urrency 2" xfId="28"/>
    <cellStyle name="Explanatory Text" xfId="29" builtinId="53" customBuiltin="1"/>
    <cellStyle name="Good" xfId="30" builtinId="26" customBuiltin="1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 3" xfId="38"/>
    <cellStyle name="Normal_PO 2904" xfId="39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1">
    <dxf>
      <font>
        <strike/>
        <condense val="0"/>
        <extend val="0"/>
        <color indexed="12"/>
      </font>
      <fill>
        <patternFill>
          <bgColor indexed="2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Victoria\Downloads\INVOICE%20SYSTEM%20ITEM%20CORRECTO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3)"/>
      <sheetName val="Sheet1 (2)"/>
      <sheetName val="Sheet1"/>
      <sheetName val="System Invoice"/>
      <sheetName val="PRICE CORRECTION"/>
      <sheetName val="Drop Ship"/>
      <sheetName val="Coupon Pull Order"/>
      <sheetName val="New Pallets Deals"/>
      <sheetName val="Traditional Pallet Deals"/>
      <sheetName val="Item number"/>
      <sheetName val="UPC &amp; SSCC"/>
      <sheetName val="Manufacturing Item Number"/>
      <sheetName val="PRICE CORRECTION 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7">
          <cell r="C7" t="str">
            <v>TX-GY</v>
          </cell>
          <cell r="D7" t="str">
            <v>Tote Carry Caddy Square Gray</v>
          </cell>
          <cell r="E7">
            <v>3.6498000000000008</v>
          </cell>
          <cell r="F7">
            <v>5</v>
          </cell>
        </row>
        <row r="8">
          <cell r="C8" t="str">
            <v>TX-GR</v>
          </cell>
          <cell r="D8" t="str">
            <v>Tote Carry Caddy Square  Green</v>
          </cell>
          <cell r="E8">
            <v>3.6498000000000008</v>
          </cell>
          <cell r="F8">
            <v>5</v>
          </cell>
        </row>
        <row r="9">
          <cell r="C9" t="str">
            <v>TX-BL</v>
          </cell>
          <cell r="D9" t="str">
            <v>Tote Carry Caddy Square  Blue</v>
          </cell>
          <cell r="E9">
            <v>3.6498000000000008</v>
          </cell>
          <cell r="F9">
            <v>5</v>
          </cell>
        </row>
        <row r="10">
          <cell r="C10" t="str">
            <v>TX-RD</v>
          </cell>
          <cell r="D10" t="str">
            <v>Tote Carry Caddy Square  Red</v>
          </cell>
          <cell r="E10">
            <v>3.6498000000000008</v>
          </cell>
          <cell r="F10">
            <v>5</v>
          </cell>
        </row>
        <row r="11">
          <cell r="C11" t="str">
            <v>TXW-GY</v>
          </cell>
          <cell r="D11" t="str">
            <v>Bottle Carry Caddy Gray</v>
          </cell>
          <cell r="E11">
            <v>3.4649999999999999</v>
          </cell>
          <cell r="F11">
            <v>5</v>
          </cell>
        </row>
        <row r="12">
          <cell r="C12" t="str">
            <v>TXW-GR</v>
          </cell>
          <cell r="D12" t="str">
            <v>Bottle Carry Caddy Green</v>
          </cell>
          <cell r="E12">
            <v>3.4649999999999999</v>
          </cell>
          <cell r="F12">
            <v>5</v>
          </cell>
        </row>
        <row r="13">
          <cell r="C13" t="str">
            <v>TXW-BL</v>
          </cell>
          <cell r="D13" t="str">
            <v>Bottle Carry Caddy Blue</v>
          </cell>
          <cell r="E13">
            <v>3.4649999999999999</v>
          </cell>
          <cell r="F13">
            <v>6</v>
          </cell>
        </row>
        <row r="14">
          <cell r="C14" t="str">
            <v>TXW-RD</v>
          </cell>
          <cell r="D14" t="str">
            <v>Bottle Carry Caddy Red</v>
          </cell>
          <cell r="E14">
            <v>3.4649999999999999</v>
          </cell>
          <cell r="F14">
            <v>6</v>
          </cell>
        </row>
        <row r="15">
          <cell r="C15" t="str">
            <v>SB17-RD</v>
          </cell>
          <cell r="D15" t="str">
            <v>Square Utility Bucket 17 Qts Red</v>
          </cell>
          <cell r="E15">
            <v>3.5904000000000007</v>
          </cell>
          <cell r="F15">
            <v>6</v>
          </cell>
        </row>
        <row r="16">
          <cell r="C16" t="str">
            <v>SB17-SBL</v>
          </cell>
          <cell r="D16" t="str">
            <v>Square Utility Bucket 17 Qts Sky Blue</v>
          </cell>
          <cell r="E16">
            <v>3.5904000000000007</v>
          </cell>
          <cell r="F16">
            <v>6</v>
          </cell>
        </row>
        <row r="17">
          <cell r="C17" t="str">
            <v>SB17-GR</v>
          </cell>
          <cell r="D17" t="str">
            <v>Square Utility Bucket 17 Qts Light Green</v>
          </cell>
          <cell r="E17">
            <v>3.5904000000000007</v>
          </cell>
          <cell r="F17">
            <v>6</v>
          </cell>
        </row>
        <row r="18">
          <cell r="C18" t="str">
            <v>SB17-BL</v>
          </cell>
          <cell r="D18" t="str">
            <v>Square Utility Bucket 17 Qts Navy Blue</v>
          </cell>
          <cell r="E18">
            <v>3.5904000000000007</v>
          </cell>
          <cell r="F18">
            <v>6</v>
          </cell>
        </row>
        <row r="19">
          <cell r="C19" t="str">
            <v>OB17-OR</v>
          </cell>
          <cell r="D19" t="str">
            <v>Oval 2 in 1 Utitlity Bucket 17 Qts / Orange</v>
          </cell>
          <cell r="E19">
            <v>5.1744000000000003</v>
          </cell>
          <cell r="F19">
            <v>6</v>
          </cell>
        </row>
        <row r="20">
          <cell r="C20" t="str">
            <v>OB17-LG</v>
          </cell>
          <cell r="D20" t="str">
            <v>Oval 2 in 1 Utitlity Bucket 17 Qts / Light Green</v>
          </cell>
          <cell r="E20">
            <v>5.1744000000000003</v>
          </cell>
          <cell r="F20">
            <v>6</v>
          </cell>
        </row>
        <row r="25">
          <cell r="C25" t="str">
            <v>KMC-CR100</v>
          </cell>
          <cell r="D25" t="str">
            <v>Corner Utility Bucket 20 qrts.</v>
          </cell>
          <cell r="E25">
            <v>5.2417678500000005</v>
          </cell>
          <cell r="F25">
            <v>2</v>
          </cell>
        </row>
        <row r="26">
          <cell r="C26" t="str">
            <v>KMC-FB100</v>
          </cell>
          <cell r="D26" t="str">
            <v>5 Gal Flatback Bucket BLACK</v>
          </cell>
          <cell r="E26">
            <v>5.2417678500000005</v>
          </cell>
          <cell r="F26">
            <v>3</v>
          </cell>
        </row>
        <row r="27">
          <cell r="C27" t="str">
            <v>KMC-FB100RD</v>
          </cell>
          <cell r="D27" t="str">
            <v>5 Gal Flatback Bucket RED</v>
          </cell>
          <cell r="E27">
            <v>5.7337499999999997</v>
          </cell>
          <cell r="F27">
            <v>3</v>
          </cell>
        </row>
        <row r="28">
          <cell r="C28" t="str">
            <v>KMC-FB100BL</v>
          </cell>
          <cell r="D28" t="str">
            <v>5 Gal Flatback Bucket BLUE</v>
          </cell>
          <cell r="E28">
            <v>5.7337499999999997</v>
          </cell>
          <cell r="F28">
            <v>3</v>
          </cell>
        </row>
        <row r="29">
          <cell r="C29" t="str">
            <v>KMC-FB100GR</v>
          </cell>
          <cell r="D29" t="str">
            <v>5 Gal Flatback Bucket GREEN</v>
          </cell>
          <cell r="E29">
            <v>5.7337499999999997</v>
          </cell>
          <cell r="F29">
            <v>3</v>
          </cell>
        </row>
        <row r="30">
          <cell r="C30" t="str">
            <v>FB-YE</v>
          </cell>
          <cell r="D30" t="str">
            <v>5 Gal Flatback Bucket YELLOW</v>
          </cell>
          <cell r="E30">
            <v>5.7337499999999997</v>
          </cell>
          <cell r="F30">
            <v>3</v>
          </cell>
        </row>
        <row r="31">
          <cell r="C31" t="str">
            <v>FB-PR</v>
          </cell>
          <cell r="D31" t="str">
            <v>5 Gal Flatback Bucket PURPLE</v>
          </cell>
          <cell r="E31">
            <v>5.7337499999999997</v>
          </cell>
          <cell r="F31">
            <v>3</v>
          </cell>
        </row>
        <row r="32">
          <cell r="C32" t="str">
            <v>FB-SB</v>
          </cell>
          <cell r="D32" t="str">
            <v>5 Gal Flatback Bucket SKY BLUE</v>
          </cell>
          <cell r="E32">
            <v>5.7337499999999997</v>
          </cell>
          <cell r="F32">
            <v>3</v>
          </cell>
        </row>
        <row r="33">
          <cell r="C33" t="str">
            <v>FB-FG</v>
          </cell>
          <cell r="D33" t="str">
            <v>5 Gal Flatback Bucket FOREST GREEN</v>
          </cell>
          <cell r="E33">
            <v>5.7337499999999997</v>
          </cell>
          <cell r="F33">
            <v>3</v>
          </cell>
        </row>
        <row r="34">
          <cell r="C34" t="str">
            <v>FB-OR</v>
          </cell>
          <cell r="D34" t="str">
            <v>5 Gal Flatback Bucket ORANGE</v>
          </cell>
          <cell r="E34">
            <v>5.7337499999999997</v>
          </cell>
          <cell r="F34">
            <v>3</v>
          </cell>
        </row>
        <row r="35">
          <cell r="C35" t="str">
            <v>FB-LI</v>
          </cell>
          <cell r="D35" t="str">
            <v>5 Gal Flatback Bucket LIMA</v>
          </cell>
          <cell r="E35">
            <v>5.7337499999999997</v>
          </cell>
          <cell r="F35">
            <v>3</v>
          </cell>
        </row>
        <row r="36">
          <cell r="C36" t="str">
            <v>FB-HP</v>
          </cell>
          <cell r="D36" t="str">
            <v>5 Gal Flatback Bucket HOT PINK</v>
          </cell>
          <cell r="E36">
            <v>5.7337499999999997</v>
          </cell>
          <cell r="F36">
            <v>3</v>
          </cell>
        </row>
        <row r="37">
          <cell r="C37" t="str">
            <v>KMC-RN101</v>
          </cell>
          <cell r="D37" t="str">
            <v>8Qts / 2 Gal. Round Bucket BLACK</v>
          </cell>
          <cell r="E37">
            <v>2.9287058625000002</v>
          </cell>
          <cell r="F37">
            <v>3</v>
          </cell>
        </row>
        <row r="38">
          <cell r="C38" t="str">
            <v>KMC-RN101RD</v>
          </cell>
          <cell r="D38" t="str">
            <v>8Qts / 2 Gal. Round Bucket RED</v>
          </cell>
          <cell r="E38">
            <v>3.25875</v>
          </cell>
          <cell r="F38">
            <v>3</v>
          </cell>
        </row>
        <row r="39">
          <cell r="C39" t="str">
            <v>KMC-RN101BL</v>
          </cell>
          <cell r="D39" t="str">
            <v>8Qts / 2 Gal. Round Bucket BLUE</v>
          </cell>
          <cell r="E39">
            <v>3.25875</v>
          </cell>
          <cell r="F39">
            <v>3</v>
          </cell>
        </row>
        <row r="40">
          <cell r="C40" t="str">
            <v>KMC-RN101GR</v>
          </cell>
          <cell r="D40" t="str">
            <v>8Qts / 2 Gal. Round Bucket GREEN</v>
          </cell>
          <cell r="E40">
            <v>3.25875</v>
          </cell>
          <cell r="F40">
            <v>3</v>
          </cell>
        </row>
        <row r="41">
          <cell r="C41" t="str">
            <v>RN-YE</v>
          </cell>
          <cell r="D41" t="str">
            <v>8Qts / 2 Gal. Round Bucket YELLOW</v>
          </cell>
          <cell r="E41">
            <v>3.25875</v>
          </cell>
          <cell r="F41">
            <v>3</v>
          </cell>
        </row>
        <row r="42">
          <cell r="C42" t="str">
            <v>RN-PR</v>
          </cell>
          <cell r="D42" t="str">
            <v>8Qts / 2 Gal. Round Bucket PURPLE</v>
          </cell>
          <cell r="E42">
            <v>3.25875</v>
          </cell>
          <cell r="F42">
            <v>3</v>
          </cell>
        </row>
        <row r="43">
          <cell r="C43" t="str">
            <v>RN-SB</v>
          </cell>
          <cell r="D43" t="str">
            <v>8Qts / 2 Gal. Round Bucket SKY BLUE</v>
          </cell>
          <cell r="E43">
            <v>3.25875</v>
          </cell>
          <cell r="F43">
            <v>3</v>
          </cell>
        </row>
        <row r="44">
          <cell r="C44" t="str">
            <v>RN-FG</v>
          </cell>
          <cell r="D44" t="str">
            <v>8Qts / 2 Gal. Round Bucket FOREST GREEN</v>
          </cell>
          <cell r="E44">
            <v>3.25875</v>
          </cell>
          <cell r="F44">
            <v>3</v>
          </cell>
        </row>
        <row r="45">
          <cell r="C45" t="str">
            <v>RN-OR</v>
          </cell>
          <cell r="D45" t="str">
            <v>8Qts / 2 Gal. Round Bucket ORANGE</v>
          </cell>
          <cell r="E45">
            <v>3.25875</v>
          </cell>
          <cell r="F45">
            <v>3</v>
          </cell>
        </row>
        <row r="46">
          <cell r="C46" t="str">
            <v>RN-LI</v>
          </cell>
          <cell r="D46" t="str">
            <v>8Qts / 2 Gal. Round Bucket LIMA</v>
          </cell>
          <cell r="E46">
            <v>3.25875</v>
          </cell>
          <cell r="F46">
            <v>3</v>
          </cell>
        </row>
        <row r="47">
          <cell r="C47" t="str">
            <v>RN-HP</v>
          </cell>
          <cell r="D47" t="str">
            <v>8Qts / 2 Gal. Round Bucket HOT PINK</v>
          </cell>
          <cell r="E47">
            <v>3.25875</v>
          </cell>
          <cell r="F47">
            <v>3</v>
          </cell>
        </row>
        <row r="48">
          <cell r="C48" t="str">
            <v>MCK70BK</v>
          </cell>
          <cell r="D48" t="str">
            <v>70 Qts. Muck Bucket BLACK</v>
          </cell>
          <cell r="E48">
            <v>10.93125</v>
          </cell>
          <cell r="F48">
            <v>2</v>
          </cell>
        </row>
        <row r="49">
          <cell r="C49" t="str">
            <v>MCK70RD</v>
          </cell>
          <cell r="D49" t="str">
            <v>70 Qts. Muck Bucket RED</v>
          </cell>
          <cell r="E49">
            <v>10.93125</v>
          </cell>
          <cell r="F49">
            <v>2</v>
          </cell>
        </row>
        <row r="50">
          <cell r="C50" t="str">
            <v>MCK70GR</v>
          </cell>
          <cell r="D50" t="str">
            <v>70 Qts. Muck Bucket GREEN</v>
          </cell>
          <cell r="E50">
            <v>10.93125</v>
          </cell>
          <cell r="F50">
            <v>2</v>
          </cell>
        </row>
        <row r="51">
          <cell r="C51" t="str">
            <v>MCK70BL</v>
          </cell>
          <cell r="D51" t="str">
            <v>70 Qts. Muck Bucket BLUE</v>
          </cell>
          <cell r="E51">
            <v>10.93125</v>
          </cell>
          <cell r="F51">
            <v>2</v>
          </cell>
        </row>
        <row r="52">
          <cell r="C52" t="str">
            <v>MCK70BR</v>
          </cell>
          <cell r="D52" t="str">
            <v>Muck Bucket 70 qts BURGANDY</v>
          </cell>
          <cell r="E52">
            <v>10.93125</v>
          </cell>
          <cell r="F52">
            <v>2</v>
          </cell>
        </row>
        <row r="53">
          <cell r="C53" t="str">
            <v>MCK-YE</v>
          </cell>
          <cell r="D53" t="str">
            <v>70 Qts. Muck Bucket YELLOW</v>
          </cell>
          <cell r="E53">
            <v>10.93125</v>
          </cell>
          <cell r="F53">
            <v>2</v>
          </cell>
        </row>
        <row r="54">
          <cell r="C54" t="str">
            <v>MCK-PR</v>
          </cell>
          <cell r="D54" t="str">
            <v>70 Qts. Muck Bucket PURPLE</v>
          </cell>
          <cell r="E54">
            <v>10.93125</v>
          </cell>
          <cell r="F54">
            <v>2</v>
          </cell>
        </row>
        <row r="55">
          <cell r="C55" t="str">
            <v>MCK-SB</v>
          </cell>
          <cell r="D55" t="str">
            <v>70 Qts. Muck Bucket SKY BLUE</v>
          </cell>
          <cell r="E55">
            <v>10.93125</v>
          </cell>
          <cell r="F55">
            <v>2</v>
          </cell>
        </row>
        <row r="56">
          <cell r="C56" t="str">
            <v>MCK-FG</v>
          </cell>
          <cell r="D56" t="str">
            <v>70 Qts. Muck Bucket FOREST GREEN</v>
          </cell>
          <cell r="E56">
            <v>10.93125</v>
          </cell>
          <cell r="F56">
            <v>2</v>
          </cell>
        </row>
        <row r="57">
          <cell r="C57" t="str">
            <v>MCK-OR</v>
          </cell>
          <cell r="D57" t="str">
            <v>70 Qts. Muck Bucket ORANGE</v>
          </cell>
          <cell r="E57">
            <v>10.93125</v>
          </cell>
          <cell r="F57">
            <v>2</v>
          </cell>
        </row>
        <row r="58">
          <cell r="C58" t="str">
            <v>MCK-LI</v>
          </cell>
          <cell r="D58" t="str">
            <v>70 Qts. Muck Bucket LIMA</v>
          </cell>
          <cell r="E58">
            <v>10.93125</v>
          </cell>
          <cell r="F58">
            <v>2</v>
          </cell>
        </row>
        <row r="59">
          <cell r="C59" t="str">
            <v>MCK-HP</v>
          </cell>
          <cell r="D59" t="str">
            <v>70 Qts. Muck Bucket HOT PINK</v>
          </cell>
          <cell r="E59">
            <v>10.93125</v>
          </cell>
          <cell r="F59">
            <v>2</v>
          </cell>
        </row>
        <row r="60">
          <cell r="C60" t="str">
            <v>SRN-BK</v>
          </cell>
          <cell r="D60" t="str">
            <v>5Qts Small Round Bucket Black</v>
          </cell>
          <cell r="E60">
            <v>2.2435875000000003</v>
          </cell>
          <cell r="F60">
            <v>2</v>
          </cell>
        </row>
        <row r="61">
          <cell r="C61" t="str">
            <v>SRN-RD</v>
          </cell>
          <cell r="D61" t="str">
            <v>5Qts Small Round Bucket Red</v>
          </cell>
          <cell r="E61">
            <v>2.2435875000000003</v>
          </cell>
          <cell r="F61">
            <v>2</v>
          </cell>
        </row>
        <row r="62">
          <cell r="C62" t="str">
            <v>SRN-BL</v>
          </cell>
          <cell r="D62" t="str">
            <v>5Qts Small Round Bucket Blue</v>
          </cell>
          <cell r="E62">
            <v>2.2435875000000003</v>
          </cell>
          <cell r="F62">
            <v>2</v>
          </cell>
        </row>
        <row r="63">
          <cell r="C63" t="str">
            <v>SRN-GR</v>
          </cell>
          <cell r="D63" t="str">
            <v>5Qts Small Round Bucket Green</v>
          </cell>
          <cell r="E63">
            <v>2.2435875000000003</v>
          </cell>
          <cell r="F63">
            <v>2</v>
          </cell>
        </row>
        <row r="64">
          <cell r="C64" t="str">
            <v>SRN-YE</v>
          </cell>
          <cell r="D64" t="str">
            <v>5Qts Small Round Bucket Yellow</v>
          </cell>
          <cell r="E64">
            <v>2.2435875000000003</v>
          </cell>
          <cell r="F64">
            <v>2</v>
          </cell>
        </row>
        <row r="65">
          <cell r="C65" t="str">
            <v>SRN-PR</v>
          </cell>
          <cell r="D65" t="str">
            <v>5Qts Small Round Bucket Purple</v>
          </cell>
          <cell r="E65">
            <v>2.2435875000000003</v>
          </cell>
          <cell r="F65">
            <v>2</v>
          </cell>
        </row>
        <row r="66">
          <cell r="C66" t="str">
            <v>SRN-SB</v>
          </cell>
          <cell r="D66" t="str">
            <v>5Qts Small Round Bucket Sky Blue</v>
          </cell>
          <cell r="E66">
            <v>2.2435875000000003</v>
          </cell>
          <cell r="F66">
            <v>2</v>
          </cell>
        </row>
        <row r="67">
          <cell r="C67" t="str">
            <v>SRN-FG</v>
          </cell>
          <cell r="D67" t="str">
            <v>5Qts Small Round Bucket Forest Green</v>
          </cell>
          <cell r="E67">
            <v>2.2435875000000003</v>
          </cell>
          <cell r="F67">
            <v>2</v>
          </cell>
        </row>
        <row r="68">
          <cell r="C68" t="str">
            <v>SRN-OR</v>
          </cell>
          <cell r="D68" t="str">
            <v>5Qts Small Round Bucket Orange</v>
          </cell>
          <cell r="E68">
            <v>2.2435875000000003</v>
          </cell>
          <cell r="F68">
            <v>2</v>
          </cell>
        </row>
        <row r="69">
          <cell r="C69" t="str">
            <v>SRN-HP</v>
          </cell>
          <cell r="D69" t="str">
            <v>5Qts Small Round Bucket Hot Pink</v>
          </cell>
          <cell r="E69">
            <v>2.2435875000000003</v>
          </cell>
          <cell r="F69">
            <v>2</v>
          </cell>
        </row>
        <row r="74">
          <cell r="C74" t="str">
            <v>SQH-BK</v>
          </cell>
          <cell r="D74" t="str">
            <v>Square Fence Hook 14 Qts Black</v>
          </cell>
          <cell r="E74">
            <v>7.4613000000000005</v>
          </cell>
          <cell r="F74">
            <v>4</v>
          </cell>
        </row>
        <row r="75">
          <cell r="C75" t="str">
            <v>SQH-RD</v>
          </cell>
          <cell r="D75" t="str">
            <v>Square Fence Hook 14 Qts Red</v>
          </cell>
          <cell r="E75">
            <v>7.4613000000000005</v>
          </cell>
          <cell r="F75">
            <v>4</v>
          </cell>
        </row>
        <row r="76">
          <cell r="C76" t="str">
            <v>SQH-BL</v>
          </cell>
          <cell r="D76" t="str">
            <v>Square Fence Hook 14 Qts Blue</v>
          </cell>
          <cell r="E76">
            <v>7.4613000000000005</v>
          </cell>
          <cell r="F76">
            <v>4</v>
          </cell>
        </row>
        <row r="77">
          <cell r="C77" t="str">
            <v>SQH-GR</v>
          </cell>
          <cell r="D77" t="str">
            <v>Square Fence Hook 14 Qts Green</v>
          </cell>
          <cell r="E77">
            <v>7.4613000000000005</v>
          </cell>
          <cell r="F77">
            <v>4</v>
          </cell>
        </row>
        <row r="78">
          <cell r="C78" t="str">
            <v>RDH-BK</v>
          </cell>
          <cell r="D78" t="str">
            <v>Round Fence Hook 10 Qts Black</v>
          </cell>
          <cell r="E78">
            <v>4.7217500000000001</v>
          </cell>
          <cell r="F78">
            <v>4</v>
          </cell>
        </row>
        <row r="79">
          <cell r="C79" t="str">
            <v>RDH-RD</v>
          </cell>
          <cell r="D79" t="str">
            <v>Round Fence Hook 10 Qts Red</v>
          </cell>
          <cell r="E79">
            <v>4.7217500000000001</v>
          </cell>
          <cell r="F79">
            <v>4</v>
          </cell>
        </row>
        <row r="80">
          <cell r="C80" t="str">
            <v>RDH-GR</v>
          </cell>
          <cell r="D80" t="str">
            <v>Round Fence Hook 10 Qts Green</v>
          </cell>
          <cell r="E80">
            <v>4.7217500000000001</v>
          </cell>
          <cell r="F80">
            <v>4</v>
          </cell>
        </row>
        <row r="81">
          <cell r="C81" t="str">
            <v>RDH-BL</v>
          </cell>
          <cell r="D81" t="str">
            <v>Round Fence Hook 10 Qts Blue</v>
          </cell>
          <cell r="E81">
            <v>4.7217500000000001</v>
          </cell>
          <cell r="F81">
            <v>4</v>
          </cell>
        </row>
        <row r="82">
          <cell r="C82" t="str">
            <v>TX-GY</v>
          </cell>
          <cell r="D82" t="str">
            <v>Tote Carry Caddy Square Gray</v>
          </cell>
          <cell r="E82">
            <v>3.6932500000000004</v>
          </cell>
          <cell r="F82">
            <v>2</v>
          </cell>
        </row>
        <row r="83">
          <cell r="C83" t="str">
            <v>TX-GR</v>
          </cell>
          <cell r="D83" t="str">
            <v>Tote Carry Caddy Square  Green</v>
          </cell>
          <cell r="E83">
            <v>3.6932500000000004</v>
          </cell>
          <cell r="F83">
            <v>2</v>
          </cell>
        </row>
        <row r="84">
          <cell r="C84" t="str">
            <v>TX-BL</v>
          </cell>
          <cell r="D84" t="str">
            <v>Tote Carry Caddy Square  Blue</v>
          </cell>
          <cell r="E84">
            <v>3.6932500000000004</v>
          </cell>
          <cell r="F84">
            <v>2</v>
          </cell>
        </row>
        <row r="85">
          <cell r="C85" t="str">
            <v>TX-RD</v>
          </cell>
          <cell r="D85" t="str">
            <v>Tote Carry Caddy Square  Red</v>
          </cell>
          <cell r="E85">
            <v>3.6932500000000004</v>
          </cell>
          <cell r="F85">
            <v>2</v>
          </cell>
        </row>
        <row r="86">
          <cell r="C86" t="str">
            <v>TXW-GY</v>
          </cell>
          <cell r="D86" t="str">
            <v>Bottle Carry Caddy Gray</v>
          </cell>
          <cell r="E86">
            <v>3.5062500000000001</v>
          </cell>
          <cell r="F86">
            <v>2</v>
          </cell>
        </row>
        <row r="87">
          <cell r="C87" t="str">
            <v>TXW-GR</v>
          </cell>
          <cell r="D87" t="str">
            <v>Bottle Carry Caddy Green</v>
          </cell>
          <cell r="E87">
            <v>3.5062500000000001</v>
          </cell>
          <cell r="F87">
            <v>2</v>
          </cell>
        </row>
        <row r="88">
          <cell r="C88" t="str">
            <v>TXW-BL</v>
          </cell>
          <cell r="D88" t="str">
            <v>Bottle Carry Caddy Blue</v>
          </cell>
          <cell r="E88">
            <v>3.5062500000000001</v>
          </cell>
          <cell r="F88">
            <v>2</v>
          </cell>
        </row>
        <row r="89">
          <cell r="C89" t="str">
            <v>TXW-RD</v>
          </cell>
          <cell r="D89" t="str">
            <v>Bottle Carry Caddy Red</v>
          </cell>
          <cell r="E89">
            <v>3.5062500000000001</v>
          </cell>
          <cell r="F89">
            <v>2</v>
          </cell>
        </row>
        <row r="94">
          <cell r="C94" t="str">
            <v>F4-BK</v>
          </cell>
          <cell r="D94" t="str">
            <v>Tuff Flex Tub 4.2 gal Black</v>
          </cell>
          <cell r="E94">
            <v>3.3005499999999999</v>
          </cell>
          <cell r="F94">
            <v>3</v>
          </cell>
        </row>
        <row r="95">
          <cell r="C95" t="str">
            <v>F4-RD</v>
          </cell>
          <cell r="D95" t="str">
            <v>Tuff Flex Tub 4.2 gal Red</v>
          </cell>
          <cell r="E95">
            <v>3.3005499999999999</v>
          </cell>
          <cell r="F95">
            <v>3</v>
          </cell>
        </row>
        <row r="96">
          <cell r="C96" t="str">
            <v>F4-GR</v>
          </cell>
          <cell r="D96" t="str">
            <v xml:space="preserve">Tuff Flex Tub 4.2 gal Green </v>
          </cell>
          <cell r="E96">
            <v>3.3005499999999999</v>
          </cell>
          <cell r="F96">
            <v>3</v>
          </cell>
        </row>
        <row r="97">
          <cell r="C97" t="str">
            <v>F4-SBL</v>
          </cell>
          <cell r="D97" t="str">
            <v xml:space="preserve">Tuff Flex Tub 4.2 gal Sky Blue </v>
          </cell>
          <cell r="E97">
            <v>3.3005499999999999</v>
          </cell>
          <cell r="F97">
            <v>3</v>
          </cell>
        </row>
        <row r="98">
          <cell r="C98" t="str">
            <v>F4-YL</v>
          </cell>
          <cell r="D98" t="str">
            <v>Tuff Flex Tub 4.2 gal Yellow</v>
          </cell>
          <cell r="E98">
            <v>3.3005499999999999</v>
          </cell>
          <cell r="F98">
            <v>3</v>
          </cell>
        </row>
        <row r="99">
          <cell r="C99" t="str">
            <v>F4-PK</v>
          </cell>
          <cell r="D99" t="str">
            <v>Tuff Flex Tub 4.2 gal Pink</v>
          </cell>
          <cell r="E99">
            <v>3.3005499999999999</v>
          </cell>
          <cell r="F99">
            <v>3</v>
          </cell>
        </row>
        <row r="100">
          <cell r="C100" t="str">
            <v>F4-PR</v>
          </cell>
          <cell r="D100" t="str">
            <v>Tuff Flex Tub 4.2 gal Purple</v>
          </cell>
          <cell r="E100">
            <v>3.3005499999999999</v>
          </cell>
          <cell r="F100">
            <v>3</v>
          </cell>
        </row>
        <row r="101">
          <cell r="C101" t="str">
            <v>F4-OR</v>
          </cell>
          <cell r="D101" t="str">
            <v>Tuff Flex Tub 4.2 gal Orange</v>
          </cell>
          <cell r="E101">
            <v>3.3005499999999999</v>
          </cell>
          <cell r="F101">
            <v>3</v>
          </cell>
        </row>
        <row r="102">
          <cell r="C102" t="str">
            <v>S4-BK</v>
          </cell>
          <cell r="D102" t="str">
            <v xml:space="preserve">Tuff Short Flex Tub 4 gal Black </v>
          </cell>
          <cell r="E102">
            <v>4.2636000000000003</v>
          </cell>
          <cell r="F102">
            <v>3</v>
          </cell>
        </row>
        <row r="103">
          <cell r="C103" t="str">
            <v>S4-RD</v>
          </cell>
          <cell r="D103" t="str">
            <v>Tuff Short Flex Tub 4 gal Red</v>
          </cell>
          <cell r="E103">
            <v>4.2636000000000003</v>
          </cell>
          <cell r="F103">
            <v>3</v>
          </cell>
        </row>
        <row r="104">
          <cell r="C104" t="str">
            <v>S4-GR</v>
          </cell>
          <cell r="D104" t="str">
            <v xml:space="preserve">Tuff Short Flex Tub 4 gal Green </v>
          </cell>
          <cell r="E104">
            <v>4.2636000000000003</v>
          </cell>
          <cell r="F104">
            <v>3</v>
          </cell>
        </row>
        <row r="105">
          <cell r="C105" t="str">
            <v>S4-SBL</v>
          </cell>
          <cell r="D105" t="str">
            <v xml:space="preserve">Tuff Short Flex Tub 4 gal Sky Blue </v>
          </cell>
          <cell r="E105">
            <v>4.2636000000000003</v>
          </cell>
          <cell r="F105">
            <v>3</v>
          </cell>
        </row>
        <row r="106">
          <cell r="C106" t="str">
            <v>S4-YL</v>
          </cell>
          <cell r="D106" t="str">
            <v>Tuff Short Flex Tub 4 gal Yellow</v>
          </cell>
          <cell r="E106">
            <v>4.2636000000000003</v>
          </cell>
          <cell r="F106">
            <v>3</v>
          </cell>
        </row>
        <row r="107">
          <cell r="C107" t="str">
            <v>S4-PK</v>
          </cell>
          <cell r="D107" t="str">
            <v>Tuff Short Flex Tub 4 gal Pink</v>
          </cell>
          <cell r="E107">
            <v>4.2636000000000003</v>
          </cell>
          <cell r="F107">
            <v>3</v>
          </cell>
        </row>
        <row r="108">
          <cell r="C108" t="str">
            <v>S4-PR</v>
          </cell>
          <cell r="D108" t="str">
            <v>Tuff Short Flex Tub 4 gal Purple</v>
          </cell>
          <cell r="E108">
            <v>4.2636000000000003</v>
          </cell>
          <cell r="F108">
            <v>3</v>
          </cell>
        </row>
        <row r="109">
          <cell r="C109" t="str">
            <v>S4-OR</v>
          </cell>
          <cell r="D109" t="str">
            <v>Tuff Short Flex Tub 4 gal Orange</v>
          </cell>
          <cell r="E109">
            <v>4.2636000000000003</v>
          </cell>
          <cell r="F109">
            <v>3</v>
          </cell>
        </row>
        <row r="110">
          <cell r="C110" t="str">
            <v>F7-BK</v>
          </cell>
          <cell r="D110" t="str">
            <v>Tuff Flex Tub 7 gal Black</v>
          </cell>
          <cell r="E110">
            <v>4.5908500000000005</v>
          </cell>
          <cell r="F110">
            <v>3</v>
          </cell>
        </row>
        <row r="111">
          <cell r="C111" t="str">
            <v>F7-RD</v>
          </cell>
          <cell r="D111" t="str">
            <v>Tuff Flex Tub 7 gal Red</v>
          </cell>
          <cell r="E111">
            <v>4.5908500000000005</v>
          </cell>
          <cell r="F111">
            <v>3</v>
          </cell>
        </row>
        <row r="112">
          <cell r="C112" t="str">
            <v>F7-GR</v>
          </cell>
          <cell r="D112" t="str">
            <v xml:space="preserve">Tuff Flex Tub 7 gal Green </v>
          </cell>
          <cell r="E112">
            <v>4.5908500000000005</v>
          </cell>
          <cell r="F112">
            <v>3</v>
          </cell>
        </row>
        <row r="113">
          <cell r="C113" t="str">
            <v>F7-SBL</v>
          </cell>
          <cell r="D113" t="str">
            <v xml:space="preserve">Tuff Flex Tub 7 gal Sky Blue </v>
          </cell>
          <cell r="E113">
            <v>4.5908500000000005</v>
          </cell>
          <cell r="F113">
            <v>3</v>
          </cell>
        </row>
        <row r="114">
          <cell r="C114" t="str">
            <v>F7-YL</v>
          </cell>
          <cell r="D114" t="str">
            <v>Tuff Flex Tub 7 gal Yellow</v>
          </cell>
          <cell r="E114">
            <v>4.5908500000000005</v>
          </cell>
          <cell r="F114">
            <v>3</v>
          </cell>
        </row>
        <row r="115">
          <cell r="C115" t="str">
            <v>F7-PK</v>
          </cell>
          <cell r="D115" t="str">
            <v>Tuff Flex Tub 7 gal Pink</v>
          </cell>
          <cell r="E115">
            <v>4.5908500000000005</v>
          </cell>
          <cell r="F115">
            <v>3</v>
          </cell>
        </row>
        <row r="116">
          <cell r="C116" t="str">
            <v>F7-PR</v>
          </cell>
          <cell r="D116" t="str">
            <v>Tuff Flex Tub 7 gal Purple</v>
          </cell>
          <cell r="E116">
            <v>4.5908500000000005</v>
          </cell>
          <cell r="F116">
            <v>3</v>
          </cell>
        </row>
        <row r="117">
          <cell r="C117" t="str">
            <v>F7-OR</v>
          </cell>
          <cell r="D117" t="str">
            <v>Tuff Flex Tub 7 gal Orange</v>
          </cell>
          <cell r="E117">
            <v>4.5908500000000005</v>
          </cell>
          <cell r="F117">
            <v>3</v>
          </cell>
        </row>
        <row r="118">
          <cell r="C118" t="str">
            <v>F12-BK</v>
          </cell>
          <cell r="D118" t="str">
            <v>Tuff Flex Tub 12 gal Black</v>
          </cell>
          <cell r="E118">
            <v>6.12425</v>
          </cell>
          <cell r="F118">
            <v>3</v>
          </cell>
        </row>
        <row r="119">
          <cell r="C119" t="str">
            <v>F12-RD</v>
          </cell>
          <cell r="D119" t="str">
            <v>Tuff Flex Tub 12 gal Red</v>
          </cell>
          <cell r="E119">
            <v>6.12425</v>
          </cell>
          <cell r="F119">
            <v>3</v>
          </cell>
        </row>
        <row r="120">
          <cell r="C120" t="str">
            <v>F12-GR</v>
          </cell>
          <cell r="D120" t="str">
            <v xml:space="preserve">Tuff Flex Tub 12 gal Green </v>
          </cell>
          <cell r="E120">
            <v>6.12425</v>
          </cell>
          <cell r="F120">
            <v>3</v>
          </cell>
        </row>
        <row r="121">
          <cell r="C121" t="str">
            <v>F12-SBL</v>
          </cell>
          <cell r="D121" t="str">
            <v xml:space="preserve">Tuff Flex Tub 12 gal Sky Blue </v>
          </cell>
          <cell r="E121">
            <v>6.12425</v>
          </cell>
          <cell r="F121">
            <v>3</v>
          </cell>
        </row>
        <row r="122">
          <cell r="C122" t="str">
            <v>F12-YL</v>
          </cell>
          <cell r="D122" t="str">
            <v>Tuff Flex Tub 12 gal Yellow</v>
          </cell>
          <cell r="E122">
            <v>6.12425</v>
          </cell>
          <cell r="F122">
            <v>3</v>
          </cell>
        </row>
        <row r="123">
          <cell r="C123" t="str">
            <v>F12-PK</v>
          </cell>
          <cell r="D123" t="str">
            <v>Tuff Flex Tub 12 gal Pink</v>
          </cell>
          <cell r="E123">
            <v>6.12425</v>
          </cell>
          <cell r="F123">
            <v>3</v>
          </cell>
        </row>
        <row r="124">
          <cell r="C124" t="str">
            <v>F12-PR</v>
          </cell>
          <cell r="D124" t="str">
            <v>Tuff Flex Tub 12 gal Purple</v>
          </cell>
          <cell r="E124">
            <v>6.12425</v>
          </cell>
          <cell r="F124">
            <v>3</v>
          </cell>
        </row>
        <row r="125">
          <cell r="C125" t="str">
            <v>F12-OR</v>
          </cell>
          <cell r="D125" t="str">
            <v>Tuff Flex Tub 12 gal Orange</v>
          </cell>
          <cell r="E125">
            <v>6.12425</v>
          </cell>
          <cell r="F125">
            <v>3</v>
          </cell>
        </row>
        <row r="126">
          <cell r="C126" t="str">
            <v>F16-BK</v>
          </cell>
          <cell r="D126" t="str">
            <v>Tuff Flex Tub 16 gal Black</v>
          </cell>
          <cell r="E126">
            <v>9.4528499999999998</v>
          </cell>
          <cell r="F126">
            <v>2</v>
          </cell>
        </row>
        <row r="127">
          <cell r="C127" t="str">
            <v>F16-RD</v>
          </cell>
          <cell r="D127" t="str">
            <v>Tuff Flex Tub 16 gal Red</v>
          </cell>
          <cell r="E127">
            <v>9.4528499999999998</v>
          </cell>
          <cell r="F127">
            <v>2</v>
          </cell>
        </row>
        <row r="128">
          <cell r="C128" t="str">
            <v>F16-GR</v>
          </cell>
          <cell r="D128" t="str">
            <v xml:space="preserve">Tuff Flex Tub 16 gal Green </v>
          </cell>
          <cell r="E128">
            <v>9.4528499999999998</v>
          </cell>
          <cell r="F128">
            <v>2</v>
          </cell>
        </row>
        <row r="129">
          <cell r="C129" t="str">
            <v>F16-SBL</v>
          </cell>
          <cell r="D129" t="str">
            <v xml:space="preserve">Tuff Flex Tub 16 gal Sky Blue </v>
          </cell>
          <cell r="E129">
            <v>9.4528499999999998</v>
          </cell>
          <cell r="F129">
            <v>2</v>
          </cell>
        </row>
        <row r="130">
          <cell r="C130" t="str">
            <v>F16-YL</v>
          </cell>
          <cell r="D130" t="str">
            <v>Tuff Flex Tub 16 gal Yellow</v>
          </cell>
          <cell r="E130">
            <v>9.4528499999999998</v>
          </cell>
          <cell r="F130">
            <v>2</v>
          </cell>
        </row>
        <row r="131">
          <cell r="C131" t="str">
            <v>F16-PK</v>
          </cell>
          <cell r="D131" t="str">
            <v>Tuff Flex Tub 16 gal Pink</v>
          </cell>
          <cell r="E131">
            <v>9.4528499999999998</v>
          </cell>
          <cell r="F131">
            <v>2</v>
          </cell>
        </row>
        <row r="132">
          <cell r="C132" t="str">
            <v>F16-PR</v>
          </cell>
          <cell r="D132" t="str">
            <v>Tuff Flex Tub 16 gal Purple</v>
          </cell>
          <cell r="E132">
            <v>9.4528499999999998</v>
          </cell>
          <cell r="F132">
            <v>2</v>
          </cell>
        </row>
        <row r="133">
          <cell r="C133" t="str">
            <v>F16-OR</v>
          </cell>
          <cell r="D133" t="str">
            <v>Tuff Flex Tub 16 gal Orange</v>
          </cell>
          <cell r="E133">
            <v>9.4528499999999998</v>
          </cell>
          <cell r="F133">
            <v>2</v>
          </cell>
        </row>
        <row r="134">
          <cell r="C134" t="str">
            <v>NR100</v>
          </cell>
          <cell r="D134" t="str">
            <v>Display Rack NR 100 for Flex Tubs</v>
          </cell>
          <cell r="E134">
            <v>121.50324999999999</v>
          </cell>
          <cell r="F134">
            <v>1</v>
          </cell>
        </row>
        <row r="139">
          <cell r="C139" t="str">
            <v>KMM98</v>
          </cell>
          <cell r="D139" t="str">
            <v>Contractor Mortar Tub  60x36x12</v>
          </cell>
          <cell r="E139">
            <v>63.349005258000005</v>
          </cell>
          <cell r="F139">
            <v>4</v>
          </cell>
        </row>
        <row r="140">
          <cell r="C140" t="str">
            <v>KMM100</v>
          </cell>
          <cell r="D140" t="str">
            <v>Large Mortar Tub 36x24x8</v>
          </cell>
          <cell r="E140">
            <v>8.3926419971624995</v>
          </cell>
          <cell r="F140">
            <v>12</v>
          </cell>
        </row>
        <row r="141">
          <cell r="C141" t="str">
            <v>KMM102</v>
          </cell>
          <cell r="D141" t="str">
            <v>Econo Small Mix Tub 27x20x6</v>
          </cell>
          <cell r="E141">
            <v>5.4634387500000008</v>
          </cell>
          <cell r="F141">
            <v>18</v>
          </cell>
        </row>
        <row r="142">
          <cell r="C142" t="str">
            <v>KMW105</v>
          </cell>
          <cell r="D142" t="str">
            <v>Hvy Dty Self Leveling Material Mixing Drum</v>
          </cell>
          <cell r="E142">
            <v>19.035017554750315</v>
          </cell>
          <cell r="F142">
            <v>12</v>
          </cell>
        </row>
        <row r="143">
          <cell r="C143" t="str">
            <v>KMC100</v>
          </cell>
          <cell r="D143" t="str">
            <v>Utility Bucket 18 qrts.</v>
          </cell>
          <cell r="E143">
            <v>4.2701059169999995</v>
          </cell>
          <cell r="F143">
            <v>12</v>
          </cell>
        </row>
        <row r="144">
          <cell r="C144" t="str">
            <v>KMC101</v>
          </cell>
          <cell r="D144" t="str">
            <v>Utility Bucket 10 qrts.</v>
          </cell>
          <cell r="E144">
            <v>3.3595686258750002</v>
          </cell>
          <cell r="F144">
            <v>12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t"/>
  <dimension ref="A1:AJ108"/>
  <sheetViews>
    <sheetView tabSelected="1" zoomScaleNormal="100" workbookViewId="0">
      <selection activeCell="E2" sqref="E2"/>
    </sheetView>
  </sheetViews>
  <sheetFormatPr defaultRowHeight="12.75" x14ac:dyDescent="0.2"/>
  <cols>
    <col min="1" max="1" width="9.140625" style="4" customWidth="1"/>
    <col min="2" max="2" width="33.140625" style="4" customWidth="1"/>
    <col min="3" max="3" width="11.28515625" style="5" bestFit="1" customWidth="1"/>
    <col min="4" max="4" width="9.28515625" style="5" bestFit="1" customWidth="1"/>
    <col min="5" max="5" width="13.85546875" style="4" customWidth="1"/>
    <col min="6" max="6" width="9.7109375" style="4" bestFit="1" customWidth="1"/>
    <col min="7" max="11" width="9.140625" style="4" customWidth="1"/>
    <col min="12" max="18" width="9.140625" style="11" customWidth="1"/>
    <col min="19" max="16384" width="9.140625" style="4"/>
  </cols>
  <sheetData>
    <row r="1" spans="1:36" x14ac:dyDescent="0.2">
      <c r="B1" s="7" t="s">
        <v>135</v>
      </c>
      <c r="C1" s="9">
        <v>12</v>
      </c>
      <c r="D1" s="4">
        <f>SUM(D3:D619)</f>
        <v>4483</v>
      </c>
      <c r="F1" s="5">
        <f>D1-G1-H1-I1-J1-K1-L1-M1-N1-O1-P1-Q1-R1-S1-T1-U1-V1-W1-X1-Y1-Z1-AA1-AB1-AC1-AD1-AE1-AF1-AG1-AH1-AI1-AJ1</f>
        <v>0</v>
      </c>
      <c r="G1" s="4">
        <f>SUM(G3:G619)</f>
        <v>209</v>
      </c>
      <c r="H1" s="4">
        <f t="shared" ref="H1:AJ1" si="0">SUM(H3:H619)</f>
        <v>390</v>
      </c>
      <c r="I1" s="4">
        <f t="shared" si="0"/>
        <v>61</v>
      </c>
      <c r="J1" s="4">
        <f t="shared" si="0"/>
        <v>198</v>
      </c>
      <c r="K1" s="4">
        <f t="shared" si="0"/>
        <v>966</v>
      </c>
      <c r="L1" s="11">
        <f t="shared" si="0"/>
        <v>160</v>
      </c>
      <c r="M1" s="11">
        <f t="shared" si="0"/>
        <v>928</v>
      </c>
      <c r="N1" s="11">
        <f t="shared" si="0"/>
        <v>216</v>
      </c>
      <c r="O1" s="11">
        <f t="shared" si="0"/>
        <v>550</v>
      </c>
      <c r="P1" s="11">
        <f t="shared" si="0"/>
        <v>312</v>
      </c>
      <c r="Q1" s="11">
        <f t="shared" si="0"/>
        <v>185</v>
      </c>
      <c r="R1" s="11">
        <f t="shared" si="0"/>
        <v>236</v>
      </c>
      <c r="S1" s="4">
        <f t="shared" si="0"/>
        <v>72</v>
      </c>
      <c r="T1" s="4">
        <f t="shared" si="0"/>
        <v>0</v>
      </c>
      <c r="U1" s="4">
        <f t="shared" si="0"/>
        <v>0</v>
      </c>
      <c r="V1" s="4">
        <f t="shared" si="0"/>
        <v>0</v>
      </c>
      <c r="W1" s="4">
        <f t="shared" si="0"/>
        <v>0</v>
      </c>
      <c r="X1" s="4">
        <f t="shared" si="0"/>
        <v>0</v>
      </c>
      <c r="Y1" s="4">
        <f t="shared" si="0"/>
        <v>0</v>
      </c>
      <c r="Z1" s="4">
        <f t="shared" si="0"/>
        <v>0</v>
      </c>
      <c r="AA1" s="4">
        <f t="shared" si="0"/>
        <v>0</v>
      </c>
      <c r="AB1" s="4">
        <f t="shared" si="0"/>
        <v>0</v>
      </c>
      <c r="AC1" s="4">
        <f t="shared" si="0"/>
        <v>0</v>
      </c>
      <c r="AD1" s="4">
        <f t="shared" si="0"/>
        <v>0</v>
      </c>
      <c r="AE1" s="4">
        <f t="shared" si="0"/>
        <v>0</v>
      </c>
      <c r="AF1" s="4">
        <f t="shared" si="0"/>
        <v>0</v>
      </c>
      <c r="AG1" s="4">
        <f t="shared" si="0"/>
        <v>0</v>
      </c>
      <c r="AH1" s="4">
        <f t="shared" si="0"/>
        <v>0</v>
      </c>
      <c r="AI1" s="4">
        <f t="shared" si="0"/>
        <v>0</v>
      </c>
      <c r="AJ1" s="4">
        <f t="shared" si="0"/>
        <v>0</v>
      </c>
    </row>
    <row r="2" spans="1:36" x14ac:dyDescent="0.2">
      <c r="A2" s="2" t="s">
        <v>92</v>
      </c>
      <c r="B2" s="2" t="s">
        <v>93</v>
      </c>
      <c r="C2" s="3" t="s">
        <v>94</v>
      </c>
      <c r="D2" s="3" t="s">
        <v>95</v>
      </c>
      <c r="E2" s="2" t="s">
        <v>96</v>
      </c>
      <c r="F2" s="12" t="s">
        <v>97</v>
      </c>
      <c r="G2" s="12" t="s">
        <v>98</v>
      </c>
      <c r="H2" s="12" t="s">
        <v>99</v>
      </c>
      <c r="I2" s="12" t="s">
        <v>100</v>
      </c>
      <c r="J2" s="12" t="s">
        <v>101</v>
      </c>
      <c r="K2" s="12" t="s">
        <v>102</v>
      </c>
      <c r="L2" s="12" t="s">
        <v>103</v>
      </c>
      <c r="M2" s="12" t="s">
        <v>104</v>
      </c>
      <c r="N2" s="12" t="s">
        <v>105</v>
      </c>
      <c r="O2" s="12" t="s">
        <v>106</v>
      </c>
      <c r="P2" s="12" t="s">
        <v>107</v>
      </c>
      <c r="Q2" s="12" t="s">
        <v>108</v>
      </c>
      <c r="R2" s="12" t="s">
        <v>109</v>
      </c>
      <c r="S2" s="12" t="s">
        <v>110</v>
      </c>
      <c r="T2" s="12" t="s">
        <v>111</v>
      </c>
      <c r="U2" s="12" t="s">
        <v>112</v>
      </c>
      <c r="V2" s="12" t="s">
        <v>113</v>
      </c>
      <c r="W2" s="12" t="s">
        <v>114</v>
      </c>
      <c r="X2" s="12" t="s">
        <v>115</v>
      </c>
      <c r="Y2" s="12" t="s">
        <v>116</v>
      </c>
      <c r="Z2" s="12" t="s">
        <v>117</v>
      </c>
      <c r="AA2" s="12" t="s">
        <v>118</v>
      </c>
      <c r="AB2" s="12" t="s">
        <v>119</v>
      </c>
      <c r="AC2" s="12" t="s">
        <v>120</v>
      </c>
      <c r="AD2" s="12" t="s">
        <v>121</v>
      </c>
      <c r="AE2" s="12" t="s">
        <v>122</v>
      </c>
      <c r="AF2" s="12" t="s">
        <v>123</v>
      </c>
      <c r="AG2" s="12" t="s">
        <v>124</v>
      </c>
      <c r="AH2" s="12" t="s">
        <v>125</v>
      </c>
      <c r="AI2" s="12" t="s">
        <v>126</v>
      </c>
      <c r="AJ2" s="12" t="s">
        <v>127</v>
      </c>
    </row>
    <row r="3" spans="1:36" x14ac:dyDescent="0.2">
      <c r="A3" s="4">
        <v>19678</v>
      </c>
      <c r="B3" s="7" t="s">
        <v>137</v>
      </c>
      <c r="C3" s="5">
        <v>3194</v>
      </c>
      <c r="D3" s="5">
        <v>24</v>
      </c>
      <c r="E3" s="6" t="s">
        <v>0</v>
      </c>
      <c r="F3" s="5">
        <f>D3-G3-H3-I3-J3-K3-L3-M3-N3-O3-P3-Q3-R3-S3-T3-U3-V3-W3-X3-Y3-Z3-AA3-AB3-AC3-AD3-AE3-AF3-AG3-AH3-AI3-AJ3</f>
        <v>0</v>
      </c>
      <c r="J3" s="4">
        <v>24</v>
      </c>
    </row>
    <row r="4" spans="1:36" x14ac:dyDescent="0.2">
      <c r="A4" s="4">
        <v>19678</v>
      </c>
      <c r="B4" s="7" t="s">
        <v>137</v>
      </c>
      <c r="C4" s="5">
        <v>3194</v>
      </c>
      <c r="D4" s="5">
        <v>60</v>
      </c>
      <c r="E4" s="6" t="s">
        <v>1</v>
      </c>
      <c r="F4" s="5">
        <f t="shared" ref="F4:F67" si="1">D4-G4-H4-I4-J4-K4-L4-M4-N4-O4-P4-Q4-R4-S4-T4-U4-V4-W4-X4-Y4-Z4-AA4-AB4-AC4-AD4-AE4-AF4-AG4-AH4-AI4-AJ4</f>
        <v>0</v>
      </c>
      <c r="G4" s="4">
        <v>60</v>
      </c>
    </row>
    <row r="5" spans="1:36" x14ac:dyDescent="0.2">
      <c r="A5" s="4">
        <v>19678</v>
      </c>
      <c r="B5" s="7" t="s">
        <v>137</v>
      </c>
      <c r="C5" s="5">
        <v>3194</v>
      </c>
      <c r="D5" s="5">
        <v>60</v>
      </c>
      <c r="E5" s="6" t="s">
        <v>2</v>
      </c>
      <c r="F5" s="5">
        <f t="shared" si="1"/>
        <v>0</v>
      </c>
      <c r="J5" s="4">
        <v>60</v>
      </c>
    </row>
    <row r="6" spans="1:36" x14ac:dyDescent="0.2">
      <c r="A6" s="4">
        <v>19678</v>
      </c>
      <c r="B6" s="7" t="s">
        <v>137</v>
      </c>
      <c r="C6" s="5">
        <v>3194</v>
      </c>
      <c r="D6" s="5">
        <v>36</v>
      </c>
      <c r="E6" s="6" t="s">
        <v>3</v>
      </c>
      <c r="F6" s="5">
        <f t="shared" si="1"/>
        <v>0</v>
      </c>
      <c r="J6" s="4">
        <v>36</v>
      </c>
    </row>
    <row r="7" spans="1:36" x14ac:dyDescent="0.2">
      <c r="A7" s="4">
        <v>19678</v>
      </c>
      <c r="B7" s="7" t="s">
        <v>137</v>
      </c>
      <c r="C7" s="5">
        <v>3194</v>
      </c>
      <c r="D7" s="5">
        <v>18</v>
      </c>
      <c r="E7" s="6" t="s">
        <v>4</v>
      </c>
      <c r="F7" s="5">
        <f t="shared" si="1"/>
        <v>0</v>
      </c>
      <c r="J7" s="4">
        <v>18</v>
      </c>
    </row>
    <row r="8" spans="1:36" x14ac:dyDescent="0.2">
      <c r="A8" s="4">
        <v>19678</v>
      </c>
      <c r="B8" s="7" t="s">
        <v>137</v>
      </c>
      <c r="C8" s="5">
        <v>3194</v>
      </c>
      <c r="D8" s="5">
        <v>96</v>
      </c>
      <c r="E8" s="6" t="s">
        <v>5</v>
      </c>
      <c r="F8" s="5">
        <f t="shared" ref="F8:F16" si="2">D8-G8-H8-I8-J8-K8-L8-M8-N8-O8-P8-Q8-R8-S8-T8-U8-V8-W8-X8-Y8-Z8-AA8-AB8-AC8-AD8-AE8-AF8-AG8-AH8-AI8-AJ8</f>
        <v>0</v>
      </c>
      <c r="M8" s="11">
        <v>96</v>
      </c>
    </row>
    <row r="9" spans="1:36" x14ac:dyDescent="0.2">
      <c r="A9" s="4">
        <v>19678</v>
      </c>
      <c r="B9" s="7" t="s">
        <v>137</v>
      </c>
      <c r="C9" s="5">
        <v>3194</v>
      </c>
      <c r="D9" s="5">
        <v>96</v>
      </c>
      <c r="E9" s="6" t="s">
        <v>6</v>
      </c>
      <c r="F9" s="5">
        <f t="shared" si="2"/>
        <v>0</v>
      </c>
      <c r="M9" s="11">
        <v>96</v>
      </c>
    </row>
    <row r="10" spans="1:36" x14ac:dyDescent="0.2">
      <c r="A10" s="4">
        <v>19678</v>
      </c>
      <c r="B10" s="7" t="s">
        <v>137</v>
      </c>
      <c r="C10" s="5">
        <v>3194</v>
      </c>
      <c r="D10" s="5">
        <v>96</v>
      </c>
      <c r="E10" s="6" t="s">
        <v>7</v>
      </c>
      <c r="F10" s="5">
        <f t="shared" si="2"/>
        <v>0</v>
      </c>
      <c r="M10" s="11">
        <v>80</v>
      </c>
      <c r="O10" s="11">
        <v>16</v>
      </c>
    </row>
    <row r="11" spans="1:36" x14ac:dyDescent="0.2">
      <c r="A11" s="4">
        <v>19678</v>
      </c>
      <c r="B11" s="7" t="s">
        <v>137</v>
      </c>
      <c r="C11" s="5">
        <v>3194</v>
      </c>
      <c r="D11" s="5">
        <v>96</v>
      </c>
      <c r="E11" s="6" t="s">
        <v>8</v>
      </c>
      <c r="F11" s="5">
        <f t="shared" si="2"/>
        <v>0</v>
      </c>
      <c r="M11" s="11">
        <v>96</v>
      </c>
    </row>
    <row r="12" spans="1:36" x14ac:dyDescent="0.2">
      <c r="A12" s="4">
        <v>19678</v>
      </c>
      <c r="B12" s="7" t="s">
        <v>137</v>
      </c>
      <c r="C12" s="5">
        <v>3194</v>
      </c>
      <c r="D12" s="5">
        <v>96</v>
      </c>
      <c r="E12" s="6" t="s">
        <v>9</v>
      </c>
      <c r="F12" s="5">
        <f t="shared" si="2"/>
        <v>0</v>
      </c>
      <c r="M12" s="11">
        <v>96</v>
      </c>
    </row>
    <row r="13" spans="1:36" x14ac:dyDescent="0.2">
      <c r="A13" s="4">
        <v>19678</v>
      </c>
      <c r="B13" s="7" t="s">
        <v>137</v>
      </c>
      <c r="C13" s="5">
        <v>3194</v>
      </c>
      <c r="D13" s="5">
        <v>96</v>
      </c>
      <c r="E13" s="6" t="s">
        <v>10</v>
      </c>
      <c r="F13" s="5">
        <f t="shared" si="2"/>
        <v>0</v>
      </c>
      <c r="M13" s="11">
        <v>96</v>
      </c>
    </row>
    <row r="14" spans="1:36" x14ac:dyDescent="0.2">
      <c r="A14" s="4">
        <v>19678</v>
      </c>
      <c r="B14" s="7" t="s">
        <v>137</v>
      </c>
      <c r="C14" s="5">
        <v>3194</v>
      </c>
      <c r="D14" s="5">
        <v>96</v>
      </c>
      <c r="E14" s="6" t="s">
        <v>11</v>
      </c>
      <c r="F14" s="5">
        <f t="shared" si="2"/>
        <v>0</v>
      </c>
      <c r="M14" s="11">
        <v>96</v>
      </c>
    </row>
    <row r="15" spans="1:36" x14ac:dyDescent="0.2">
      <c r="A15" s="4">
        <v>19678</v>
      </c>
      <c r="B15" s="7" t="s">
        <v>137</v>
      </c>
      <c r="C15" s="5">
        <v>3194</v>
      </c>
      <c r="D15" s="5">
        <v>96</v>
      </c>
      <c r="E15" s="6" t="s">
        <v>12</v>
      </c>
      <c r="F15" s="5">
        <f t="shared" si="2"/>
        <v>0</v>
      </c>
      <c r="M15" s="11">
        <v>96</v>
      </c>
    </row>
    <row r="16" spans="1:36" x14ac:dyDescent="0.2">
      <c r="A16" s="4">
        <v>19678</v>
      </c>
      <c r="B16" s="7" t="s">
        <v>137</v>
      </c>
      <c r="C16" s="5">
        <v>3194</v>
      </c>
      <c r="D16" s="5">
        <v>96</v>
      </c>
      <c r="E16" s="6" t="s">
        <v>13</v>
      </c>
      <c r="F16" s="5">
        <f t="shared" si="2"/>
        <v>0</v>
      </c>
      <c r="M16" s="11">
        <v>80</v>
      </c>
      <c r="O16" s="11">
        <v>16</v>
      </c>
    </row>
    <row r="17" spans="1:13" x14ac:dyDescent="0.2">
      <c r="A17" s="4">
        <v>19678</v>
      </c>
      <c r="B17" s="7" t="s">
        <v>137</v>
      </c>
      <c r="C17" s="5">
        <v>3194</v>
      </c>
      <c r="D17" s="5">
        <v>96</v>
      </c>
      <c r="E17" s="6" t="s">
        <v>14</v>
      </c>
      <c r="F17" s="5">
        <f t="shared" si="1"/>
        <v>0</v>
      </c>
      <c r="M17" s="11">
        <v>96</v>
      </c>
    </row>
    <row r="18" spans="1:13" x14ac:dyDescent="0.2">
      <c r="A18" s="4">
        <v>19678</v>
      </c>
      <c r="B18" s="7" t="s">
        <v>137</v>
      </c>
      <c r="C18" s="5">
        <v>3194</v>
      </c>
      <c r="D18" s="5">
        <v>60</v>
      </c>
      <c r="E18" s="6" t="s">
        <v>15</v>
      </c>
      <c r="F18" s="5">
        <f t="shared" si="1"/>
        <v>0</v>
      </c>
      <c r="K18" s="4">
        <v>60</v>
      </c>
    </row>
    <row r="19" spans="1:13" x14ac:dyDescent="0.2">
      <c r="A19" s="4">
        <v>19678</v>
      </c>
      <c r="B19" s="7" t="s">
        <v>137</v>
      </c>
      <c r="C19" s="5">
        <v>3194</v>
      </c>
      <c r="D19" s="5">
        <v>84</v>
      </c>
      <c r="E19" s="6" t="s">
        <v>16</v>
      </c>
      <c r="F19" s="5">
        <f t="shared" si="1"/>
        <v>0</v>
      </c>
      <c r="K19" s="4">
        <v>84</v>
      </c>
    </row>
    <row r="20" spans="1:13" x14ac:dyDescent="0.2">
      <c r="A20" s="4">
        <v>19678</v>
      </c>
      <c r="B20" s="7" t="s">
        <v>137</v>
      </c>
      <c r="C20" s="5">
        <v>3194</v>
      </c>
      <c r="D20" s="5">
        <v>60</v>
      </c>
      <c r="E20" s="6" t="s">
        <v>17</v>
      </c>
      <c r="F20" s="5">
        <f t="shared" si="1"/>
        <v>0</v>
      </c>
      <c r="K20" s="4">
        <v>60</v>
      </c>
    </row>
    <row r="21" spans="1:13" x14ac:dyDescent="0.2">
      <c r="A21" s="4">
        <v>19678</v>
      </c>
      <c r="B21" s="7" t="s">
        <v>137</v>
      </c>
      <c r="C21" s="5">
        <v>3194</v>
      </c>
      <c r="D21" s="5">
        <v>90</v>
      </c>
      <c r="E21" s="6" t="s">
        <v>18</v>
      </c>
      <c r="F21" s="5">
        <f t="shared" si="1"/>
        <v>0</v>
      </c>
      <c r="K21" s="4">
        <v>90</v>
      </c>
    </row>
    <row r="22" spans="1:13" x14ac:dyDescent="0.2">
      <c r="A22" s="4">
        <v>19678</v>
      </c>
      <c r="B22" s="7" t="s">
        <v>137</v>
      </c>
      <c r="C22" s="5">
        <v>3194</v>
      </c>
      <c r="D22" s="5">
        <v>90</v>
      </c>
      <c r="E22" s="6" t="s">
        <v>19</v>
      </c>
      <c r="F22" s="5">
        <f t="shared" si="1"/>
        <v>0</v>
      </c>
      <c r="K22" s="4">
        <v>90</v>
      </c>
    </row>
    <row r="23" spans="1:13" x14ac:dyDescent="0.2">
      <c r="A23" s="4">
        <v>19678</v>
      </c>
      <c r="B23" s="7" t="s">
        <v>137</v>
      </c>
      <c r="C23" s="5">
        <v>3194</v>
      </c>
      <c r="D23" s="5">
        <v>60</v>
      </c>
      <c r="E23" s="6" t="s">
        <v>20</v>
      </c>
      <c r="F23" s="5">
        <f t="shared" si="1"/>
        <v>0</v>
      </c>
      <c r="K23" s="4">
        <v>60</v>
      </c>
    </row>
    <row r="24" spans="1:13" x14ac:dyDescent="0.2">
      <c r="A24" s="4">
        <v>19678</v>
      </c>
      <c r="B24" s="7" t="s">
        <v>137</v>
      </c>
      <c r="C24" s="5">
        <v>3194</v>
      </c>
      <c r="D24" s="5">
        <v>60</v>
      </c>
      <c r="E24" s="6" t="s">
        <v>21</v>
      </c>
      <c r="F24" s="5">
        <f t="shared" si="1"/>
        <v>0</v>
      </c>
      <c r="K24" s="4">
        <v>60</v>
      </c>
    </row>
    <row r="25" spans="1:13" x14ac:dyDescent="0.2">
      <c r="A25" s="4">
        <v>19678</v>
      </c>
      <c r="B25" s="7" t="s">
        <v>137</v>
      </c>
      <c r="C25" s="5">
        <v>3194</v>
      </c>
      <c r="D25" s="5">
        <v>90</v>
      </c>
      <c r="E25" s="6" t="s">
        <v>22</v>
      </c>
      <c r="F25" s="5">
        <f t="shared" si="1"/>
        <v>0</v>
      </c>
      <c r="K25" s="4">
        <v>90</v>
      </c>
    </row>
    <row r="26" spans="1:13" x14ac:dyDescent="0.2">
      <c r="A26" s="4">
        <v>19678</v>
      </c>
      <c r="B26" s="7" t="s">
        <v>137</v>
      </c>
      <c r="C26" s="5">
        <v>3194</v>
      </c>
      <c r="D26" s="5">
        <v>60</v>
      </c>
      <c r="E26" s="6" t="s">
        <v>23</v>
      </c>
      <c r="F26" s="5">
        <f t="shared" si="1"/>
        <v>0</v>
      </c>
      <c r="K26" s="4">
        <v>60</v>
      </c>
    </row>
    <row r="27" spans="1:13" x14ac:dyDescent="0.2">
      <c r="A27" s="4">
        <v>19678</v>
      </c>
      <c r="B27" s="7" t="s">
        <v>137</v>
      </c>
      <c r="C27" s="5">
        <v>3194</v>
      </c>
      <c r="D27" s="5">
        <v>84</v>
      </c>
      <c r="E27" s="6" t="s">
        <v>24</v>
      </c>
      <c r="F27" s="5">
        <f t="shared" si="1"/>
        <v>0</v>
      </c>
      <c r="K27" s="4">
        <v>84</v>
      </c>
    </row>
    <row r="28" spans="1:13" x14ac:dyDescent="0.2">
      <c r="A28" s="4">
        <v>19678</v>
      </c>
      <c r="B28" s="7" t="s">
        <v>137</v>
      </c>
      <c r="C28" s="5">
        <v>3194</v>
      </c>
      <c r="D28" s="5">
        <v>60</v>
      </c>
      <c r="E28" s="6" t="s">
        <v>25</v>
      </c>
      <c r="F28" s="5">
        <f t="shared" si="1"/>
        <v>0</v>
      </c>
      <c r="K28" s="4">
        <v>60</v>
      </c>
    </row>
    <row r="29" spans="1:13" x14ac:dyDescent="0.2">
      <c r="A29" s="4">
        <v>19678</v>
      </c>
      <c r="B29" s="7" t="s">
        <v>137</v>
      </c>
      <c r="C29" s="5">
        <v>3194</v>
      </c>
      <c r="D29" s="5">
        <v>24</v>
      </c>
      <c r="E29" s="6" t="s">
        <v>26</v>
      </c>
      <c r="F29" s="5">
        <f t="shared" si="1"/>
        <v>0</v>
      </c>
      <c r="K29" s="4">
        <v>24</v>
      </c>
    </row>
    <row r="30" spans="1:13" x14ac:dyDescent="0.2">
      <c r="A30" s="4">
        <v>19678</v>
      </c>
      <c r="B30" s="7" t="s">
        <v>137</v>
      </c>
      <c r="C30" s="5">
        <v>3194</v>
      </c>
      <c r="D30" s="5">
        <v>24</v>
      </c>
      <c r="E30" s="6" t="s">
        <v>27</v>
      </c>
      <c r="F30" s="5">
        <f t="shared" si="1"/>
        <v>0</v>
      </c>
      <c r="K30" s="4">
        <v>24</v>
      </c>
    </row>
    <row r="31" spans="1:13" x14ac:dyDescent="0.2">
      <c r="A31" s="4">
        <v>19678</v>
      </c>
      <c r="B31" s="7" t="s">
        <v>137</v>
      </c>
      <c r="C31" s="5">
        <v>3194</v>
      </c>
      <c r="D31" s="5">
        <v>24</v>
      </c>
      <c r="E31" s="6" t="s">
        <v>28</v>
      </c>
      <c r="F31" s="5">
        <f t="shared" si="1"/>
        <v>0</v>
      </c>
      <c r="K31" s="4">
        <v>24</v>
      </c>
    </row>
    <row r="32" spans="1:13" x14ac:dyDescent="0.2">
      <c r="A32" s="4">
        <v>19678</v>
      </c>
      <c r="B32" s="7" t="s">
        <v>137</v>
      </c>
      <c r="C32" s="5">
        <v>3194</v>
      </c>
      <c r="D32" s="5">
        <v>24</v>
      </c>
      <c r="E32" s="6" t="s">
        <v>29</v>
      </c>
      <c r="F32" s="5">
        <f t="shared" si="1"/>
        <v>0</v>
      </c>
      <c r="K32" s="4">
        <v>24</v>
      </c>
    </row>
    <row r="33" spans="1:19" x14ac:dyDescent="0.2">
      <c r="A33" s="4">
        <v>19678</v>
      </c>
      <c r="B33" s="7" t="s">
        <v>137</v>
      </c>
      <c r="C33" s="5">
        <v>3194</v>
      </c>
      <c r="D33" s="5">
        <v>24</v>
      </c>
      <c r="E33" s="6" t="s">
        <v>30</v>
      </c>
      <c r="F33" s="5">
        <f t="shared" si="1"/>
        <v>0</v>
      </c>
      <c r="K33" s="4">
        <v>24</v>
      </c>
    </row>
    <row r="34" spans="1:19" x14ac:dyDescent="0.2">
      <c r="A34" s="4">
        <v>19678</v>
      </c>
      <c r="B34" s="7" t="s">
        <v>137</v>
      </c>
      <c r="C34" s="5">
        <v>3194</v>
      </c>
      <c r="D34" s="5">
        <v>24</v>
      </c>
      <c r="E34" s="6" t="s">
        <v>31</v>
      </c>
      <c r="F34" s="5">
        <f t="shared" si="1"/>
        <v>0</v>
      </c>
      <c r="K34" s="4">
        <v>24</v>
      </c>
    </row>
    <row r="35" spans="1:19" x14ac:dyDescent="0.2">
      <c r="A35" s="4">
        <v>19678</v>
      </c>
      <c r="B35" s="7" t="s">
        <v>137</v>
      </c>
      <c r="C35" s="5">
        <v>3194</v>
      </c>
      <c r="D35" s="5">
        <v>24</v>
      </c>
      <c r="E35" s="6" t="s">
        <v>32</v>
      </c>
      <c r="F35" s="5">
        <f t="shared" si="1"/>
        <v>0</v>
      </c>
      <c r="K35" s="4">
        <v>24</v>
      </c>
    </row>
    <row r="36" spans="1:19" x14ac:dyDescent="0.2">
      <c r="A36" s="4">
        <v>19678</v>
      </c>
      <c r="B36" s="7" t="s">
        <v>137</v>
      </c>
      <c r="C36" s="5">
        <v>3194</v>
      </c>
      <c r="D36" s="5">
        <v>24</v>
      </c>
      <c r="E36" s="6" t="s">
        <v>33</v>
      </c>
      <c r="F36" s="5">
        <f t="shared" si="1"/>
        <v>0</v>
      </c>
      <c r="S36" s="4">
        <v>24</v>
      </c>
    </row>
    <row r="37" spans="1:19" x14ac:dyDescent="0.2">
      <c r="A37" s="4">
        <v>19678</v>
      </c>
      <c r="B37" s="7" t="s">
        <v>137</v>
      </c>
      <c r="C37" s="5">
        <v>3194</v>
      </c>
      <c r="D37" s="5">
        <v>120</v>
      </c>
      <c r="E37" s="6" t="s">
        <v>34</v>
      </c>
      <c r="F37" s="5">
        <f t="shared" si="1"/>
        <v>0</v>
      </c>
      <c r="G37" s="4">
        <v>120</v>
      </c>
    </row>
    <row r="38" spans="1:19" x14ac:dyDescent="0.2">
      <c r="A38" s="4">
        <v>19678</v>
      </c>
      <c r="B38" s="7" t="s">
        <v>137</v>
      </c>
      <c r="C38" s="5">
        <v>3194</v>
      </c>
      <c r="D38" s="5">
        <v>120</v>
      </c>
      <c r="E38" s="6" t="s">
        <v>35</v>
      </c>
      <c r="F38" s="5">
        <f t="shared" si="1"/>
        <v>0</v>
      </c>
      <c r="H38" s="4">
        <v>120</v>
      </c>
    </row>
    <row r="39" spans="1:19" x14ac:dyDescent="0.2">
      <c r="A39" s="4">
        <v>19678</v>
      </c>
      <c r="B39" s="7" t="s">
        <v>137</v>
      </c>
      <c r="C39" s="5">
        <v>3194</v>
      </c>
      <c r="D39" s="5">
        <v>120</v>
      </c>
      <c r="E39" s="6" t="s">
        <v>36</v>
      </c>
      <c r="F39" s="5">
        <f t="shared" si="1"/>
        <v>0</v>
      </c>
      <c r="H39" s="4">
        <v>120</v>
      </c>
    </row>
    <row r="40" spans="1:19" x14ac:dyDescent="0.2">
      <c r="A40" s="4">
        <v>19678</v>
      </c>
      <c r="B40" s="7" t="s">
        <v>137</v>
      </c>
      <c r="C40" s="5">
        <v>3194</v>
      </c>
      <c r="D40" s="5">
        <v>120</v>
      </c>
      <c r="E40" s="6" t="s">
        <v>37</v>
      </c>
      <c r="F40" s="5">
        <f t="shared" si="1"/>
        <v>0</v>
      </c>
      <c r="H40" s="4">
        <v>120</v>
      </c>
    </row>
    <row r="41" spans="1:19" x14ac:dyDescent="0.2">
      <c r="A41" s="4">
        <v>19678</v>
      </c>
      <c r="B41" s="7" t="s">
        <v>137</v>
      </c>
      <c r="C41" s="5">
        <v>3194</v>
      </c>
      <c r="D41" s="5">
        <v>50</v>
      </c>
      <c r="E41" s="6" t="s">
        <v>38</v>
      </c>
      <c r="F41" s="5">
        <f t="shared" si="1"/>
        <v>0</v>
      </c>
      <c r="R41" s="11">
        <v>50</v>
      </c>
    </row>
    <row r="42" spans="1:19" x14ac:dyDescent="0.2">
      <c r="A42" s="4">
        <v>19678</v>
      </c>
      <c r="B42" s="7" t="s">
        <v>137</v>
      </c>
      <c r="C42" s="5">
        <v>3194</v>
      </c>
      <c r="D42" s="5">
        <v>50</v>
      </c>
      <c r="E42" s="6" t="s">
        <v>39</v>
      </c>
      <c r="F42" s="5">
        <f t="shared" si="1"/>
        <v>0</v>
      </c>
      <c r="R42" s="11">
        <v>50</v>
      </c>
    </row>
    <row r="43" spans="1:19" x14ac:dyDescent="0.2">
      <c r="A43" s="4">
        <v>19678</v>
      </c>
      <c r="B43" s="7" t="s">
        <v>137</v>
      </c>
      <c r="C43" s="5">
        <v>3194</v>
      </c>
      <c r="D43" s="5">
        <v>50</v>
      </c>
      <c r="E43" s="6" t="s">
        <v>40</v>
      </c>
      <c r="F43" s="5">
        <f t="shared" si="1"/>
        <v>0</v>
      </c>
      <c r="R43" s="11">
        <v>50</v>
      </c>
    </row>
    <row r="44" spans="1:19" x14ac:dyDescent="0.2">
      <c r="A44" s="4">
        <v>19678</v>
      </c>
      <c r="B44" s="7" t="s">
        <v>137</v>
      </c>
      <c r="C44" s="5">
        <v>3194</v>
      </c>
      <c r="D44" s="5">
        <v>50</v>
      </c>
      <c r="E44" s="6" t="s">
        <v>41</v>
      </c>
      <c r="F44" s="5">
        <f t="shared" si="1"/>
        <v>0</v>
      </c>
      <c r="R44" s="11">
        <v>50</v>
      </c>
    </row>
    <row r="45" spans="1:19" x14ac:dyDescent="0.2">
      <c r="A45" s="4">
        <v>19678</v>
      </c>
      <c r="B45" s="7" t="s">
        <v>137</v>
      </c>
      <c r="C45" s="5">
        <v>3194</v>
      </c>
      <c r="D45" s="5">
        <v>20</v>
      </c>
      <c r="E45" s="6" t="s">
        <v>42</v>
      </c>
      <c r="F45" s="5">
        <f t="shared" si="1"/>
        <v>0</v>
      </c>
      <c r="L45" s="11">
        <v>20</v>
      </c>
    </row>
    <row r="46" spans="1:19" x14ac:dyDescent="0.2">
      <c r="A46" s="4">
        <v>19678</v>
      </c>
      <c r="B46" s="7" t="s">
        <v>137</v>
      </c>
      <c r="C46" s="5">
        <v>3194</v>
      </c>
      <c r="D46" s="5">
        <v>20</v>
      </c>
      <c r="E46" s="6" t="s">
        <v>43</v>
      </c>
      <c r="F46" s="5">
        <f t="shared" si="1"/>
        <v>0</v>
      </c>
      <c r="L46" s="11">
        <v>20</v>
      </c>
    </row>
    <row r="47" spans="1:19" x14ac:dyDescent="0.2">
      <c r="A47" s="4">
        <v>19678</v>
      </c>
      <c r="B47" s="7" t="s">
        <v>137</v>
      </c>
      <c r="C47" s="5">
        <v>3194</v>
      </c>
      <c r="D47" s="5">
        <v>20</v>
      </c>
      <c r="E47" s="6" t="s">
        <v>44</v>
      </c>
      <c r="F47" s="5">
        <f t="shared" si="1"/>
        <v>0</v>
      </c>
      <c r="L47" s="11">
        <v>20</v>
      </c>
    </row>
    <row r="48" spans="1:19" x14ac:dyDescent="0.2">
      <c r="A48" s="4">
        <v>19678</v>
      </c>
      <c r="B48" s="7" t="s">
        <v>137</v>
      </c>
      <c r="C48" s="5">
        <v>3194</v>
      </c>
      <c r="D48" s="5">
        <v>20</v>
      </c>
      <c r="E48" s="6" t="s">
        <v>45</v>
      </c>
      <c r="F48" s="5">
        <f t="shared" si="1"/>
        <v>0</v>
      </c>
      <c r="L48" s="11">
        <v>20</v>
      </c>
    </row>
    <row r="49" spans="1:19" x14ac:dyDescent="0.2">
      <c r="A49" s="4">
        <v>19678</v>
      </c>
      <c r="B49" s="7" t="s">
        <v>137</v>
      </c>
      <c r="C49" s="5">
        <v>3194</v>
      </c>
      <c r="D49" s="5">
        <v>20</v>
      </c>
      <c r="E49" s="6" t="s">
        <v>46</v>
      </c>
      <c r="F49" s="5">
        <f t="shared" si="1"/>
        <v>0</v>
      </c>
      <c r="L49" s="11">
        <v>20</v>
      </c>
    </row>
    <row r="50" spans="1:19" x14ac:dyDescent="0.2">
      <c r="A50" s="4">
        <v>19678</v>
      </c>
      <c r="B50" s="7" t="s">
        <v>137</v>
      </c>
      <c r="C50" s="5">
        <v>3194</v>
      </c>
      <c r="D50" s="5">
        <v>20</v>
      </c>
      <c r="E50" s="6" t="s">
        <v>47</v>
      </c>
      <c r="F50" s="5">
        <f t="shared" si="1"/>
        <v>0</v>
      </c>
      <c r="L50" s="11">
        <v>20</v>
      </c>
    </row>
    <row r="51" spans="1:19" x14ac:dyDescent="0.2">
      <c r="A51" s="4">
        <v>19678</v>
      </c>
      <c r="B51" s="7" t="s">
        <v>137</v>
      </c>
      <c r="C51" s="5">
        <v>3194</v>
      </c>
      <c r="D51" s="5">
        <v>20</v>
      </c>
      <c r="E51" s="6" t="s">
        <v>48</v>
      </c>
      <c r="F51" s="5">
        <f t="shared" si="1"/>
        <v>0</v>
      </c>
      <c r="L51" s="11">
        <v>20</v>
      </c>
    </row>
    <row r="52" spans="1:19" x14ac:dyDescent="0.2">
      <c r="A52" s="4">
        <v>19678</v>
      </c>
      <c r="B52" s="7" t="s">
        <v>137</v>
      </c>
      <c r="C52" s="5">
        <v>3194</v>
      </c>
      <c r="D52" s="5">
        <v>20</v>
      </c>
      <c r="E52" s="6" t="s">
        <v>49</v>
      </c>
      <c r="F52" s="5">
        <f t="shared" si="1"/>
        <v>0</v>
      </c>
      <c r="L52" s="11">
        <v>20</v>
      </c>
    </row>
    <row r="53" spans="1:19" x14ac:dyDescent="0.2">
      <c r="A53" s="4">
        <v>19678</v>
      </c>
      <c r="B53" s="7" t="s">
        <v>137</v>
      </c>
      <c r="C53" s="5">
        <v>3194</v>
      </c>
      <c r="D53" s="5">
        <v>30</v>
      </c>
      <c r="E53" s="6" t="s">
        <v>50</v>
      </c>
      <c r="F53" s="5">
        <f t="shared" si="1"/>
        <v>0</v>
      </c>
      <c r="N53" s="11">
        <v>30</v>
      </c>
    </row>
    <row r="54" spans="1:19" x14ac:dyDescent="0.2">
      <c r="A54" s="4">
        <v>19678</v>
      </c>
      <c r="B54" s="7" t="s">
        <v>137</v>
      </c>
      <c r="C54" s="5">
        <v>3194</v>
      </c>
      <c r="D54" s="5">
        <v>30</v>
      </c>
      <c r="E54" s="6" t="s">
        <v>51</v>
      </c>
      <c r="F54" s="5">
        <f t="shared" si="1"/>
        <v>0</v>
      </c>
      <c r="N54" s="11">
        <v>30</v>
      </c>
    </row>
    <row r="55" spans="1:19" x14ac:dyDescent="0.2">
      <c r="A55" s="4">
        <v>19678</v>
      </c>
      <c r="B55" s="7" t="s">
        <v>137</v>
      </c>
      <c r="C55" s="5">
        <v>3194</v>
      </c>
      <c r="D55" s="5">
        <v>30</v>
      </c>
      <c r="E55" s="6" t="s">
        <v>52</v>
      </c>
      <c r="F55" s="5">
        <f t="shared" si="1"/>
        <v>0</v>
      </c>
      <c r="N55" s="11">
        <v>30</v>
      </c>
    </row>
    <row r="56" spans="1:19" x14ac:dyDescent="0.2">
      <c r="A56" s="4">
        <v>19678</v>
      </c>
      <c r="B56" s="7" t="s">
        <v>137</v>
      </c>
      <c r="C56" s="5">
        <v>3194</v>
      </c>
      <c r="D56" s="5">
        <v>30</v>
      </c>
      <c r="E56" s="6" t="s">
        <v>52</v>
      </c>
      <c r="F56" s="5">
        <f t="shared" si="1"/>
        <v>0</v>
      </c>
      <c r="N56" s="11">
        <v>30</v>
      </c>
    </row>
    <row r="57" spans="1:19" x14ac:dyDescent="0.2">
      <c r="A57" s="4">
        <v>19678</v>
      </c>
      <c r="B57" s="7" t="s">
        <v>137</v>
      </c>
      <c r="C57" s="5">
        <v>3194</v>
      </c>
      <c r="D57" s="5">
        <v>30</v>
      </c>
      <c r="E57" s="6" t="s">
        <v>53</v>
      </c>
      <c r="F57" s="5">
        <f t="shared" si="1"/>
        <v>0</v>
      </c>
      <c r="N57" s="11">
        <v>30</v>
      </c>
    </row>
    <row r="58" spans="1:19" x14ac:dyDescent="0.2">
      <c r="A58" s="4">
        <v>19678</v>
      </c>
      <c r="B58" s="7" t="s">
        <v>137</v>
      </c>
      <c r="C58" s="5">
        <v>3194</v>
      </c>
      <c r="D58" s="5">
        <v>30</v>
      </c>
      <c r="E58" s="6" t="s">
        <v>54</v>
      </c>
      <c r="F58" s="5">
        <f t="shared" si="1"/>
        <v>0</v>
      </c>
      <c r="N58" s="11">
        <v>30</v>
      </c>
    </row>
    <row r="59" spans="1:19" x14ac:dyDescent="0.2">
      <c r="A59" s="4">
        <v>19678</v>
      </c>
      <c r="B59" s="7" t="s">
        <v>137</v>
      </c>
      <c r="C59" s="5">
        <v>3194</v>
      </c>
      <c r="D59" s="5">
        <v>3</v>
      </c>
      <c r="E59" s="6" t="s">
        <v>55</v>
      </c>
      <c r="F59" s="5">
        <f t="shared" si="1"/>
        <v>0</v>
      </c>
      <c r="S59" s="4">
        <v>3</v>
      </c>
    </row>
    <row r="60" spans="1:19" x14ac:dyDescent="0.2">
      <c r="A60" s="4">
        <v>19678</v>
      </c>
      <c r="B60" s="7" t="s">
        <v>137</v>
      </c>
      <c r="C60" s="5">
        <v>3194</v>
      </c>
      <c r="D60" s="5">
        <v>3</v>
      </c>
      <c r="E60" s="6" t="s">
        <v>56</v>
      </c>
      <c r="F60" s="5">
        <f t="shared" si="1"/>
        <v>0</v>
      </c>
      <c r="S60" s="4">
        <v>3</v>
      </c>
    </row>
    <row r="61" spans="1:19" x14ac:dyDescent="0.2">
      <c r="A61" s="4">
        <v>19678</v>
      </c>
      <c r="B61" s="7" t="s">
        <v>137</v>
      </c>
      <c r="C61" s="5">
        <v>3194</v>
      </c>
      <c r="D61" s="5">
        <v>120</v>
      </c>
      <c r="E61" s="6" t="s">
        <v>57</v>
      </c>
      <c r="F61" s="5">
        <f t="shared" si="1"/>
        <v>0</v>
      </c>
      <c r="O61" s="11">
        <v>120</v>
      </c>
    </row>
    <row r="62" spans="1:19" x14ac:dyDescent="0.2">
      <c r="A62" s="4">
        <v>19678</v>
      </c>
      <c r="B62" s="7" t="s">
        <v>137</v>
      </c>
      <c r="C62" s="5">
        <v>3194</v>
      </c>
      <c r="D62" s="5">
        <v>60</v>
      </c>
      <c r="E62" s="6" t="s">
        <v>58</v>
      </c>
      <c r="F62" s="5">
        <f t="shared" si="1"/>
        <v>0</v>
      </c>
      <c r="P62" s="11">
        <v>60</v>
      </c>
    </row>
    <row r="63" spans="1:19" x14ac:dyDescent="0.2">
      <c r="A63" s="4">
        <v>19678</v>
      </c>
      <c r="B63" s="7" t="s">
        <v>137</v>
      </c>
      <c r="C63" s="5">
        <v>3194</v>
      </c>
      <c r="D63" s="5">
        <v>60</v>
      </c>
      <c r="E63" s="6" t="s">
        <v>59</v>
      </c>
      <c r="F63" s="5">
        <f t="shared" si="1"/>
        <v>0</v>
      </c>
      <c r="P63" s="11">
        <v>60</v>
      </c>
    </row>
    <row r="64" spans="1:19" x14ac:dyDescent="0.2">
      <c r="A64" s="4">
        <v>19678</v>
      </c>
      <c r="B64" s="7" t="s">
        <v>137</v>
      </c>
      <c r="C64" s="5">
        <v>3194</v>
      </c>
      <c r="D64" s="5">
        <v>60</v>
      </c>
      <c r="E64" s="6" t="s">
        <v>60</v>
      </c>
      <c r="F64" s="5">
        <f t="shared" si="1"/>
        <v>0</v>
      </c>
      <c r="P64" s="11">
        <v>60</v>
      </c>
    </row>
    <row r="65" spans="1:19" x14ac:dyDescent="0.2">
      <c r="A65" s="4">
        <v>19678</v>
      </c>
      <c r="B65" s="7" t="s">
        <v>137</v>
      </c>
      <c r="C65" s="5">
        <v>3194</v>
      </c>
      <c r="D65" s="5">
        <v>60</v>
      </c>
      <c r="E65" s="6" t="s">
        <v>61</v>
      </c>
      <c r="F65" s="5">
        <f t="shared" si="1"/>
        <v>0</v>
      </c>
      <c r="P65" s="11">
        <v>60</v>
      </c>
    </row>
    <row r="66" spans="1:19" x14ac:dyDescent="0.2">
      <c r="A66" s="4">
        <v>19678</v>
      </c>
      <c r="B66" s="7" t="s">
        <v>137</v>
      </c>
      <c r="C66" s="5">
        <v>3194</v>
      </c>
      <c r="D66" s="5">
        <v>60</v>
      </c>
      <c r="E66" s="6" t="s">
        <v>62</v>
      </c>
      <c r="F66" s="5">
        <f t="shared" si="1"/>
        <v>0</v>
      </c>
      <c r="O66" s="11">
        <v>60</v>
      </c>
    </row>
    <row r="67" spans="1:19" x14ac:dyDescent="0.2">
      <c r="A67" s="4">
        <v>19678</v>
      </c>
      <c r="B67" s="7" t="s">
        <v>137</v>
      </c>
      <c r="C67" s="5">
        <v>3194</v>
      </c>
      <c r="D67" s="5">
        <v>60</v>
      </c>
      <c r="E67" s="6" t="s">
        <v>63</v>
      </c>
      <c r="F67" s="5">
        <f t="shared" si="1"/>
        <v>0</v>
      </c>
      <c r="O67" s="11">
        <v>60</v>
      </c>
    </row>
    <row r="68" spans="1:19" x14ac:dyDescent="0.2">
      <c r="A68" s="4">
        <v>19678</v>
      </c>
      <c r="B68" s="7" t="s">
        <v>137</v>
      </c>
      <c r="C68" s="5">
        <v>3194</v>
      </c>
      <c r="D68" s="5">
        <v>60</v>
      </c>
      <c r="E68" s="6" t="s">
        <v>64</v>
      </c>
      <c r="F68" s="5">
        <f t="shared" ref="F68:F108" si="3">D68-G68-H68-I68-J68-K68-L68-M68-N68-O68-P68-Q68-R68-S68-T68-U68-V68-W68-X68-Y68-Z68-AA68-AB68-AC68-AD68-AE68-AF68-AG68-AH68-AI68-AJ68</f>
        <v>0</v>
      </c>
      <c r="O68" s="11">
        <v>60</v>
      </c>
    </row>
    <row r="69" spans="1:19" x14ac:dyDescent="0.2">
      <c r="A69" s="4">
        <v>19678</v>
      </c>
      <c r="B69" s="7" t="s">
        <v>137</v>
      </c>
      <c r="C69" s="5">
        <v>3194</v>
      </c>
      <c r="D69" s="5">
        <v>60</v>
      </c>
      <c r="E69" s="6" t="s">
        <v>65</v>
      </c>
      <c r="F69" s="5">
        <f t="shared" si="3"/>
        <v>0</v>
      </c>
      <c r="O69" s="11">
        <v>60</v>
      </c>
    </row>
    <row r="70" spans="1:19" x14ac:dyDescent="0.2">
      <c r="A70" s="4">
        <v>19678</v>
      </c>
      <c r="B70" s="7" t="s">
        <v>137</v>
      </c>
      <c r="C70" s="5">
        <v>3194</v>
      </c>
      <c r="D70" s="5">
        <v>40</v>
      </c>
      <c r="E70" s="6" t="s">
        <v>66</v>
      </c>
      <c r="F70" s="5">
        <f t="shared" si="3"/>
        <v>0</v>
      </c>
      <c r="Q70" s="11">
        <v>40</v>
      </c>
    </row>
    <row r="71" spans="1:19" x14ac:dyDescent="0.2">
      <c r="A71" s="4">
        <v>19678</v>
      </c>
      <c r="B71" s="7" t="s">
        <v>137</v>
      </c>
      <c r="C71" s="5">
        <v>3194</v>
      </c>
      <c r="D71" s="5">
        <v>90</v>
      </c>
      <c r="E71" s="6" t="s">
        <v>67</v>
      </c>
      <c r="F71" s="5">
        <f t="shared" si="3"/>
        <v>0</v>
      </c>
      <c r="O71" s="11">
        <v>90</v>
      </c>
    </row>
    <row r="72" spans="1:19" x14ac:dyDescent="0.2">
      <c r="A72" s="4">
        <v>19678</v>
      </c>
      <c r="B72" s="7" t="s">
        <v>137</v>
      </c>
      <c r="C72" s="5">
        <v>3194</v>
      </c>
      <c r="D72" s="5">
        <v>60</v>
      </c>
      <c r="E72" s="6" t="s">
        <v>68</v>
      </c>
      <c r="F72" s="5">
        <f t="shared" si="3"/>
        <v>0</v>
      </c>
      <c r="Q72" s="11">
        <v>60</v>
      </c>
    </row>
    <row r="73" spans="1:19" x14ac:dyDescent="0.2">
      <c r="A73" s="4">
        <v>19678</v>
      </c>
      <c r="B73" s="7" t="s">
        <v>137</v>
      </c>
      <c r="C73" s="5">
        <v>3194</v>
      </c>
      <c r="D73" s="5">
        <v>40</v>
      </c>
      <c r="E73" s="6" t="s">
        <v>69</v>
      </c>
      <c r="F73" s="5">
        <f t="shared" si="3"/>
        <v>0</v>
      </c>
      <c r="Q73" s="11">
        <v>40</v>
      </c>
    </row>
    <row r="74" spans="1:19" x14ac:dyDescent="0.2">
      <c r="A74" s="4">
        <v>19678</v>
      </c>
      <c r="B74" s="7" t="s">
        <v>137</v>
      </c>
      <c r="C74" s="5">
        <v>3194</v>
      </c>
      <c r="D74" s="5">
        <v>30</v>
      </c>
      <c r="E74" s="6" t="s">
        <v>70</v>
      </c>
      <c r="F74" s="5">
        <f t="shared" si="3"/>
        <v>0</v>
      </c>
      <c r="Q74" s="11">
        <v>30</v>
      </c>
    </row>
    <row r="75" spans="1:19" x14ac:dyDescent="0.2">
      <c r="A75" s="4">
        <v>19678</v>
      </c>
      <c r="B75" s="7" t="s">
        <v>137</v>
      </c>
      <c r="C75" s="5">
        <v>3194</v>
      </c>
      <c r="D75" s="5">
        <v>15</v>
      </c>
      <c r="E75" s="6" t="s">
        <v>71</v>
      </c>
      <c r="F75" s="5">
        <f t="shared" si="3"/>
        <v>0</v>
      </c>
      <c r="Q75" s="11">
        <v>15</v>
      </c>
    </row>
    <row r="76" spans="1:19" x14ac:dyDescent="0.2">
      <c r="A76" s="4">
        <v>19678</v>
      </c>
      <c r="B76" s="7" t="s">
        <v>137</v>
      </c>
      <c r="C76" s="5">
        <v>3194</v>
      </c>
      <c r="D76" s="5">
        <v>20</v>
      </c>
      <c r="E76" s="6" t="s">
        <v>72</v>
      </c>
      <c r="F76" s="5">
        <f t="shared" si="3"/>
        <v>0</v>
      </c>
      <c r="O76" s="11">
        <v>20</v>
      </c>
    </row>
    <row r="77" spans="1:19" x14ac:dyDescent="0.2">
      <c r="A77" s="4">
        <v>19678</v>
      </c>
      <c r="B77" s="7" t="s">
        <v>137</v>
      </c>
      <c r="C77" s="5">
        <v>3194</v>
      </c>
      <c r="D77" s="5">
        <v>36</v>
      </c>
      <c r="E77" s="6" t="s">
        <v>73</v>
      </c>
      <c r="F77" s="5">
        <f t="shared" si="3"/>
        <v>0</v>
      </c>
      <c r="N77" s="11">
        <v>36</v>
      </c>
    </row>
    <row r="78" spans="1:19" x14ac:dyDescent="0.2">
      <c r="A78" s="4">
        <v>19678</v>
      </c>
      <c r="B78" s="7" t="s">
        <v>137</v>
      </c>
      <c r="C78" s="5">
        <v>3194</v>
      </c>
      <c r="D78" s="5">
        <v>36</v>
      </c>
      <c r="E78" s="6" t="s">
        <v>74</v>
      </c>
      <c r="F78" s="5">
        <f t="shared" si="3"/>
        <v>0</v>
      </c>
      <c r="S78" s="4">
        <v>36</v>
      </c>
    </row>
    <row r="79" spans="1:19" x14ac:dyDescent="0.2">
      <c r="A79" s="4">
        <v>19678</v>
      </c>
      <c r="B79" s="7" t="s">
        <v>137</v>
      </c>
      <c r="C79" s="5">
        <v>3194</v>
      </c>
      <c r="D79" s="5">
        <v>48</v>
      </c>
      <c r="E79" s="6" t="s">
        <v>75</v>
      </c>
      <c r="F79" s="5">
        <f t="shared" si="3"/>
        <v>0</v>
      </c>
      <c r="O79" s="11">
        <v>48</v>
      </c>
    </row>
    <row r="80" spans="1:19" x14ac:dyDescent="0.2">
      <c r="A80" s="4">
        <v>19678</v>
      </c>
      <c r="B80" s="7" t="s">
        <v>137</v>
      </c>
      <c r="C80" s="5">
        <v>3194</v>
      </c>
      <c r="D80" s="5">
        <v>24</v>
      </c>
      <c r="E80" s="6" t="s">
        <v>76</v>
      </c>
      <c r="F80" s="5">
        <f t="shared" si="3"/>
        <v>0</v>
      </c>
      <c r="P80" s="11">
        <v>24</v>
      </c>
    </row>
    <row r="81" spans="1:19" x14ac:dyDescent="0.2">
      <c r="A81" s="4">
        <v>19678</v>
      </c>
      <c r="B81" s="7" t="s">
        <v>137</v>
      </c>
      <c r="C81" s="5">
        <v>3194</v>
      </c>
      <c r="D81" s="5">
        <v>24</v>
      </c>
      <c r="E81" s="6" t="s">
        <v>77</v>
      </c>
      <c r="F81" s="5">
        <f t="shared" si="3"/>
        <v>0</v>
      </c>
      <c r="P81" s="11">
        <v>24</v>
      </c>
    </row>
    <row r="82" spans="1:19" x14ac:dyDescent="0.2">
      <c r="A82" s="4">
        <v>19678</v>
      </c>
      <c r="B82" s="7" t="s">
        <v>137</v>
      </c>
      <c r="C82" s="5">
        <v>3194</v>
      </c>
      <c r="D82" s="5">
        <v>36</v>
      </c>
      <c r="E82" s="6" t="s">
        <v>78</v>
      </c>
      <c r="F82" s="5">
        <f t="shared" si="3"/>
        <v>0</v>
      </c>
      <c r="R82" s="11">
        <v>36</v>
      </c>
    </row>
    <row r="83" spans="1:19" x14ac:dyDescent="0.2">
      <c r="A83" s="4">
        <v>19678</v>
      </c>
      <c r="B83" s="7" t="s">
        <v>137</v>
      </c>
      <c r="C83" s="5">
        <v>3194</v>
      </c>
      <c r="D83" s="5">
        <v>24</v>
      </c>
      <c r="E83" s="6" t="s">
        <v>79</v>
      </c>
      <c r="F83" s="5">
        <f t="shared" si="3"/>
        <v>0</v>
      </c>
      <c r="I83" s="4">
        <v>24</v>
      </c>
    </row>
    <row r="84" spans="1:19" x14ac:dyDescent="0.2">
      <c r="A84" s="4">
        <v>19678</v>
      </c>
      <c r="B84" s="7" t="s">
        <v>137</v>
      </c>
      <c r="C84" s="5">
        <v>3194</v>
      </c>
      <c r="D84" s="5">
        <v>24</v>
      </c>
      <c r="E84" s="6" t="s">
        <v>80</v>
      </c>
      <c r="F84" s="5">
        <f t="shared" si="3"/>
        <v>0</v>
      </c>
      <c r="P84" s="11">
        <v>24</v>
      </c>
    </row>
    <row r="85" spans="1:19" x14ac:dyDescent="0.2">
      <c r="A85" s="4">
        <v>19678</v>
      </c>
      <c r="B85" s="7" t="s">
        <v>137</v>
      </c>
      <c r="C85" s="5">
        <v>3194</v>
      </c>
      <c r="D85" s="5">
        <v>12</v>
      </c>
      <c r="E85" s="6" t="s">
        <v>81</v>
      </c>
      <c r="F85" s="5">
        <f t="shared" si="3"/>
        <v>0</v>
      </c>
      <c r="J85" s="4">
        <v>12</v>
      </c>
    </row>
    <row r="86" spans="1:19" x14ac:dyDescent="0.2">
      <c r="A86" s="4">
        <v>19678</v>
      </c>
      <c r="B86" s="7" t="s">
        <v>137</v>
      </c>
      <c r="C86" s="5">
        <v>3194</v>
      </c>
      <c r="D86" s="5">
        <v>24</v>
      </c>
      <c r="E86" s="6" t="s">
        <v>82</v>
      </c>
      <c r="F86" s="5">
        <f t="shared" si="3"/>
        <v>0</v>
      </c>
      <c r="J86" s="4">
        <v>24</v>
      </c>
    </row>
    <row r="87" spans="1:19" x14ac:dyDescent="0.2">
      <c r="A87" s="4">
        <v>19678</v>
      </c>
      <c r="B87" s="7" t="s">
        <v>137</v>
      </c>
      <c r="C87" s="5">
        <v>3194</v>
      </c>
      <c r="D87" s="5">
        <v>12</v>
      </c>
      <c r="E87" s="6" t="s">
        <v>83</v>
      </c>
      <c r="F87" s="5">
        <f t="shared" si="3"/>
        <v>0</v>
      </c>
      <c r="J87" s="4">
        <v>12</v>
      </c>
    </row>
    <row r="88" spans="1:19" x14ac:dyDescent="0.2">
      <c r="A88" s="4">
        <v>19678</v>
      </c>
      <c r="B88" s="7" t="s">
        <v>137</v>
      </c>
      <c r="C88" s="5">
        <v>3194</v>
      </c>
      <c r="D88" s="5">
        <v>12</v>
      </c>
      <c r="E88" s="6" t="s">
        <v>84</v>
      </c>
      <c r="F88" s="5">
        <f t="shared" si="3"/>
        <v>0</v>
      </c>
      <c r="J88" s="4">
        <v>12</v>
      </c>
    </row>
    <row r="89" spans="1:19" x14ac:dyDescent="0.2">
      <c r="A89" s="4">
        <v>19678</v>
      </c>
      <c r="B89" s="7" t="s">
        <v>137</v>
      </c>
      <c r="C89" s="5">
        <v>3194</v>
      </c>
      <c r="D89" s="5">
        <v>12</v>
      </c>
      <c r="E89" s="6" t="s">
        <v>85</v>
      </c>
      <c r="F89" s="5">
        <f t="shared" si="3"/>
        <v>0</v>
      </c>
      <c r="I89" s="4">
        <v>12</v>
      </c>
    </row>
    <row r="90" spans="1:19" x14ac:dyDescent="0.2">
      <c r="A90" s="4">
        <v>19678</v>
      </c>
      <c r="B90" s="7" t="s">
        <v>137</v>
      </c>
      <c r="C90" s="5">
        <v>3194</v>
      </c>
      <c r="D90" s="5">
        <v>20</v>
      </c>
      <c r="E90" s="6" t="s">
        <v>86</v>
      </c>
      <c r="F90" s="5">
        <f t="shared" si="3"/>
        <v>0</v>
      </c>
      <c r="I90" s="4">
        <v>20</v>
      </c>
    </row>
    <row r="91" spans="1:19" x14ac:dyDescent="0.2">
      <c r="A91" s="4">
        <v>19678</v>
      </c>
      <c r="B91" s="7" t="s">
        <v>137</v>
      </c>
      <c r="C91" s="5">
        <v>3194</v>
      </c>
      <c r="D91" s="5">
        <v>16</v>
      </c>
      <c r="E91" s="6" t="s">
        <v>87</v>
      </c>
      <c r="F91" s="5">
        <f t="shared" si="3"/>
        <v>0</v>
      </c>
      <c r="G91" s="4">
        <v>11</v>
      </c>
      <c r="I91" s="4">
        <v>5</v>
      </c>
    </row>
    <row r="92" spans="1:19" x14ac:dyDescent="0.2">
      <c r="A92" s="4">
        <v>19678</v>
      </c>
      <c r="B92" s="7" t="s">
        <v>137</v>
      </c>
      <c r="C92" s="5">
        <v>3194</v>
      </c>
      <c r="D92" s="5">
        <v>12</v>
      </c>
      <c r="E92" s="6" t="s">
        <v>88</v>
      </c>
      <c r="F92" s="5">
        <f t="shared" si="3"/>
        <v>0</v>
      </c>
      <c r="G92" s="4">
        <v>12</v>
      </c>
    </row>
    <row r="93" spans="1:19" x14ac:dyDescent="0.2">
      <c r="A93" s="4">
        <v>19678</v>
      </c>
      <c r="B93" s="7" t="s">
        <v>137</v>
      </c>
      <c r="C93" s="5">
        <v>3194</v>
      </c>
      <c r="D93" s="5">
        <v>30</v>
      </c>
      <c r="E93" s="6" t="s">
        <v>89</v>
      </c>
      <c r="F93" s="5">
        <f t="shared" si="3"/>
        <v>0</v>
      </c>
      <c r="H93" s="4">
        <v>30</v>
      </c>
    </row>
    <row r="94" spans="1:19" x14ac:dyDescent="0.2">
      <c r="A94" s="4">
        <v>19678</v>
      </c>
      <c r="B94" s="7" t="s">
        <v>137</v>
      </c>
      <c r="C94" s="5">
        <v>3194</v>
      </c>
      <c r="D94" s="5">
        <v>6</v>
      </c>
      <c r="E94" s="6" t="s">
        <v>90</v>
      </c>
      <c r="F94" s="5">
        <f t="shared" si="3"/>
        <v>0</v>
      </c>
      <c r="G94" s="4">
        <v>6</v>
      </c>
    </row>
    <row r="95" spans="1:19" x14ac:dyDescent="0.2">
      <c r="A95" s="4">
        <v>19678</v>
      </c>
      <c r="B95" s="7" t="s">
        <v>137</v>
      </c>
      <c r="C95" s="5">
        <v>3194</v>
      </c>
      <c r="D95" s="5">
        <v>6</v>
      </c>
      <c r="E95" s="6" t="s">
        <v>91</v>
      </c>
      <c r="F95" s="5">
        <f t="shared" si="3"/>
        <v>0</v>
      </c>
      <c r="S95" s="4">
        <v>6</v>
      </c>
    </row>
    <row r="96" spans="1:19" x14ac:dyDescent="0.2">
      <c r="F96" s="5">
        <f t="shared" si="3"/>
        <v>0</v>
      </c>
    </row>
    <row r="97" spans="6:6" x14ac:dyDescent="0.2">
      <c r="F97" s="5">
        <f t="shared" si="3"/>
        <v>0</v>
      </c>
    </row>
    <row r="98" spans="6:6" x14ac:dyDescent="0.2">
      <c r="F98" s="5">
        <f t="shared" si="3"/>
        <v>0</v>
      </c>
    </row>
    <row r="99" spans="6:6" x14ac:dyDescent="0.2">
      <c r="F99" s="5">
        <f t="shared" si="3"/>
        <v>0</v>
      </c>
    </row>
    <row r="100" spans="6:6" x14ac:dyDescent="0.2">
      <c r="F100" s="5">
        <f t="shared" si="3"/>
        <v>0</v>
      </c>
    </row>
    <row r="101" spans="6:6" x14ac:dyDescent="0.2">
      <c r="F101" s="5">
        <f t="shared" si="3"/>
        <v>0</v>
      </c>
    </row>
    <row r="102" spans="6:6" x14ac:dyDescent="0.2">
      <c r="F102" s="5">
        <f t="shared" si="3"/>
        <v>0</v>
      </c>
    </row>
    <row r="103" spans="6:6" x14ac:dyDescent="0.2">
      <c r="F103" s="5">
        <f t="shared" si="3"/>
        <v>0</v>
      </c>
    </row>
    <row r="104" spans="6:6" x14ac:dyDescent="0.2">
      <c r="F104" s="5">
        <f t="shared" si="3"/>
        <v>0</v>
      </c>
    </row>
    <row r="105" spans="6:6" x14ac:dyDescent="0.2">
      <c r="F105" s="5">
        <f t="shared" si="3"/>
        <v>0</v>
      </c>
    </row>
    <row r="106" spans="6:6" x14ac:dyDescent="0.2">
      <c r="F106" s="5">
        <f t="shared" si="3"/>
        <v>0</v>
      </c>
    </row>
    <row r="107" spans="6:6" x14ac:dyDescent="0.2">
      <c r="F107" s="5">
        <f t="shared" si="3"/>
        <v>0</v>
      </c>
    </row>
    <row r="108" spans="6:6" x14ac:dyDescent="0.2">
      <c r="F108" s="5">
        <f t="shared" si="3"/>
        <v>0</v>
      </c>
    </row>
  </sheetData>
  <conditionalFormatting sqref="F1:F1048576">
    <cfRule type="cellIs" dxfId="0" priority="1" stopIfTrue="1" operator="equal">
      <formula>0</formula>
    </cfRule>
  </conditionalFormatting>
  <pageMargins left="0.75" right="0.75" top="1" bottom="1" header="0.5" footer="0.5"/>
  <pageSetup orientation="portrait" horizontalDpi="1200" verticalDpi="12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8"/>
  <sheetViews>
    <sheetView topLeftCell="A7" zoomScaleNormal="100" workbookViewId="0">
      <selection activeCell="E2" sqref="E2"/>
    </sheetView>
  </sheetViews>
  <sheetFormatPr defaultRowHeight="12.75" x14ac:dyDescent="0.2"/>
  <cols>
    <col min="1" max="1" width="16.85546875" customWidth="1"/>
    <col min="2" max="2" width="10.140625" customWidth="1"/>
    <col min="3" max="3" width="3.42578125" customWidth="1"/>
  </cols>
  <sheetData>
    <row r="1" spans="1:5" x14ac:dyDescent="0.2">
      <c r="A1" s="8" t="s">
        <v>128</v>
      </c>
    </row>
    <row r="2" spans="1:5" x14ac:dyDescent="0.2">
      <c r="A2" t="str">
        <f>'Pallet allocation'!B3</f>
        <v>Horizon</v>
      </c>
    </row>
    <row r="5" spans="1:5" x14ac:dyDescent="0.2">
      <c r="A5" t="s">
        <v>129</v>
      </c>
    </row>
    <row r="6" spans="1:5" x14ac:dyDescent="0.2">
      <c r="A6" t="s">
        <v>130</v>
      </c>
    </row>
    <row r="8" spans="1:5" x14ac:dyDescent="0.2">
      <c r="A8" t="s">
        <v>131</v>
      </c>
    </row>
    <row r="10" spans="1:5" x14ac:dyDescent="0.2">
      <c r="A10" t="s">
        <v>132</v>
      </c>
    </row>
    <row r="12" spans="1:5" x14ac:dyDescent="0.2">
      <c r="A12" t="s">
        <v>133</v>
      </c>
      <c r="B12">
        <v>1</v>
      </c>
      <c r="C12" t="s">
        <v>134</v>
      </c>
      <c r="D12" s="10">
        <f>'Pallet allocation'!C1</f>
        <v>12</v>
      </c>
      <c r="E12" t="s">
        <v>136</v>
      </c>
    </row>
    <row r="13" spans="1:5" x14ac:dyDescent="0.2">
      <c r="A13" s="2" t="s">
        <v>96</v>
      </c>
      <c r="B13" s="12" t="s">
        <v>98</v>
      </c>
    </row>
    <row r="14" spans="1:5" x14ac:dyDescent="0.2">
      <c r="A14" s="6" t="s">
        <v>1</v>
      </c>
      <c r="B14" s="4">
        <v>60</v>
      </c>
    </row>
    <row r="15" spans="1:5" x14ac:dyDescent="0.2">
      <c r="A15" s="6" t="s">
        <v>34</v>
      </c>
      <c r="B15" s="4">
        <v>120</v>
      </c>
    </row>
    <row r="16" spans="1:5" x14ac:dyDescent="0.2">
      <c r="A16" s="6" t="s">
        <v>87</v>
      </c>
      <c r="B16" s="4">
        <v>11</v>
      </c>
    </row>
    <row r="17" spans="1:2" x14ac:dyDescent="0.2">
      <c r="A17" s="6" t="s">
        <v>88</v>
      </c>
      <c r="B17" s="4">
        <v>12</v>
      </c>
    </row>
    <row r="18" spans="1:2" x14ac:dyDescent="0.2">
      <c r="A18" s="6" t="s">
        <v>90</v>
      </c>
      <c r="B18" s="4">
        <v>6</v>
      </c>
    </row>
  </sheetData>
  <pageMargins left="0.75" right="0.75" top="1" bottom="1" header="0.5" footer="0.5"/>
  <pageSetup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7"/>
  <sheetViews>
    <sheetView zoomScaleNormal="100" workbookViewId="0">
      <selection activeCell="E2" sqref="E2"/>
    </sheetView>
  </sheetViews>
  <sheetFormatPr defaultRowHeight="12.75" x14ac:dyDescent="0.2"/>
  <cols>
    <col min="1" max="1" width="16.85546875" style="1" customWidth="1"/>
    <col min="2" max="2" width="10.140625" style="1" customWidth="1"/>
    <col min="3" max="3" width="3.42578125" style="1" customWidth="1"/>
    <col min="4" max="16384" width="9.140625" style="1"/>
  </cols>
  <sheetData>
    <row r="1" spans="1:5" x14ac:dyDescent="0.2">
      <c r="A1" s="8" t="s">
        <v>128</v>
      </c>
    </row>
    <row r="2" spans="1:5" x14ac:dyDescent="0.2">
      <c r="A2" s="1" t="str">
        <f>'Pallet allocation'!B3</f>
        <v>Horizon</v>
      </c>
    </row>
    <row r="5" spans="1:5" x14ac:dyDescent="0.2">
      <c r="A5" s="1" t="s">
        <v>129</v>
      </c>
    </row>
    <row r="6" spans="1:5" x14ac:dyDescent="0.2">
      <c r="A6" s="1" t="s">
        <v>130</v>
      </c>
    </row>
    <row r="8" spans="1:5" x14ac:dyDescent="0.2">
      <c r="A8" s="1" t="s">
        <v>131</v>
      </c>
    </row>
    <row r="10" spans="1:5" x14ac:dyDescent="0.2">
      <c r="A10" s="1" t="s">
        <v>132</v>
      </c>
    </row>
    <row r="12" spans="1:5" x14ac:dyDescent="0.2">
      <c r="A12" s="1" t="s">
        <v>133</v>
      </c>
      <c r="B12" s="1">
        <v>1</v>
      </c>
      <c r="C12" s="1" t="s">
        <v>134</v>
      </c>
      <c r="D12" s="13">
        <f>'Pallet allocation'!C1</f>
        <v>12</v>
      </c>
      <c r="E12" s="1" t="s">
        <v>136</v>
      </c>
    </row>
    <row r="13" spans="1:5" x14ac:dyDescent="0.2">
      <c r="A13" s="2" t="s">
        <v>96</v>
      </c>
      <c r="B13" s="12" t="s">
        <v>99</v>
      </c>
    </row>
    <row r="14" spans="1:5" x14ac:dyDescent="0.2">
      <c r="A14" s="6" t="s">
        <v>35</v>
      </c>
      <c r="B14" s="4">
        <v>120</v>
      </c>
      <c r="C14" s="4"/>
    </row>
    <row r="15" spans="1:5" x14ac:dyDescent="0.2">
      <c r="A15" s="6" t="s">
        <v>36</v>
      </c>
      <c r="B15" s="4">
        <v>120</v>
      </c>
      <c r="C15" s="4"/>
    </row>
    <row r="16" spans="1:5" x14ac:dyDescent="0.2">
      <c r="A16" s="6" t="s">
        <v>37</v>
      </c>
      <c r="B16" s="4">
        <v>120</v>
      </c>
      <c r="C16" s="4"/>
    </row>
    <row r="17" spans="1:3" x14ac:dyDescent="0.2">
      <c r="A17" s="6" t="s">
        <v>89</v>
      </c>
      <c r="B17" s="4">
        <v>30</v>
      </c>
      <c r="C17" s="4"/>
    </row>
  </sheetData>
  <pageMargins left="0.75" right="0.75" top="1" bottom="1" header="0.5" footer="0.5"/>
  <pageSetup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7"/>
  <sheetViews>
    <sheetView zoomScaleNormal="100" workbookViewId="0">
      <selection activeCell="N24" sqref="N24"/>
    </sheetView>
  </sheetViews>
  <sheetFormatPr defaultRowHeight="12.75" x14ac:dyDescent="0.2"/>
  <cols>
    <col min="1" max="1" width="16.85546875" style="1" customWidth="1"/>
    <col min="2" max="2" width="10.140625" style="1" customWidth="1"/>
    <col min="3" max="3" width="3.42578125" style="1" customWidth="1"/>
    <col min="4" max="16384" width="9.140625" style="1"/>
  </cols>
  <sheetData>
    <row r="1" spans="1:5" x14ac:dyDescent="0.2">
      <c r="A1" s="8" t="s">
        <v>128</v>
      </c>
    </row>
    <row r="2" spans="1:5" x14ac:dyDescent="0.2">
      <c r="A2" s="1" t="str">
        <f>'Pallet allocation'!B3</f>
        <v>Horizon</v>
      </c>
    </row>
    <row r="5" spans="1:5" x14ac:dyDescent="0.2">
      <c r="A5" s="1" t="s">
        <v>129</v>
      </c>
    </row>
    <row r="6" spans="1:5" x14ac:dyDescent="0.2">
      <c r="A6" s="1" t="s">
        <v>130</v>
      </c>
    </row>
    <row r="8" spans="1:5" x14ac:dyDescent="0.2">
      <c r="A8" s="1" t="s">
        <v>131</v>
      </c>
    </row>
    <row r="10" spans="1:5" x14ac:dyDescent="0.2">
      <c r="A10" s="1" t="s">
        <v>132</v>
      </c>
    </row>
    <row r="12" spans="1:5" x14ac:dyDescent="0.2">
      <c r="A12" s="1" t="s">
        <v>133</v>
      </c>
      <c r="B12" s="1">
        <v>1</v>
      </c>
      <c r="C12" s="1" t="s">
        <v>134</v>
      </c>
      <c r="D12" s="13">
        <f>'Pallet allocation'!C1</f>
        <v>12</v>
      </c>
      <c r="E12" s="1" t="s">
        <v>136</v>
      </c>
    </row>
    <row r="13" spans="1:5" x14ac:dyDescent="0.2">
      <c r="A13" s="2" t="s">
        <v>96</v>
      </c>
      <c r="B13" s="12" t="s">
        <v>100</v>
      </c>
    </row>
    <row r="14" spans="1:5" x14ac:dyDescent="0.2">
      <c r="A14" s="6" t="s">
        <v>79</v>
      </c>
      <c r="B14" s="4">
        <v>24</v>
      </c>
      <c r="C14" s="4"/>
      <c r="D14" s="4"/>
    </row>
    <row r="15" spans="1:5" x14ac:dyDescent="0.2">
      <c r="A15" s="6" t="s">
        <v>85</v>
      </c>
      <c r="B15" s="4">
        <v>12</v>
      </c>
      <c r="C15" s="4"/>
      <c r="D15" s="4"/>
    </row>
    <row r="16" spans="1:5" x14ac:dyDescent="0.2">
      <c r="A16" s="6" t="s">
        <v>86</v>
      </c>
      <c r="B16" s="4">
        <v>20</v>
      </c>
      <c r="C16" s="4"/>
      <c r="D16" s="4"/>
    </row>
    <row r="17" spans="1:4" x14ac:dyDescent="0.2">
      <c r="A17" s="6" t="s">
        <v>87</v>
      </c>
      <c r="B17" s="4">
        <v>5</v>
      </c>
      <c r="C17" s="4"/>
      <c r="D17" s="4"/>
    </row>
  </sheetData>
  <pageMargins left="0.75" right="0.75" top="1" bottom="1" header="0.5" footer="0.5"/>
  <pageSetup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Pallet allocation</vt:lpstr>
      <vt:lpstr>PALLET #1</vt:lpstr>
      <vt:lpstr>PALLET #2</vt:lpstr>
      <vt:lpstr>PALLET #3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Marco Perez</dc:creator>
  <cp:keywords/>
  <dc:description/>
  <cp:lastModifiedBy>Marco Perez</cp:lastModifiedBy>
  <cp:lastPrinted>2017-06-16T15:44:04Z</cp:lastPrinted>
  <dcterms:created xsi:type="dcterms:W3CDTF">2017-04-20T19:16:36Z</dcterms:created>
  <dcterms:modified xsi:type="dcterms:W3CDTF">2017-06-17T17:35:49Z</dcterms:modified>
  <cp:category/>
</cp:coreProperties>
</file>